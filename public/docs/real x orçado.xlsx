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https://d.docs.live.net/c26a9e48e16465dd/netfits/"/>
    </mc:Choice>
  </mc:AlternateContent>
  <xr:revisionPtr revIDLastSave="1" documentId="11_585DBA57F518B9217D1A105B4D5C87FD0727DABE" xr6:coauthVersionLast="47" xr6:coauthVersionMax="47" xr10:uidLastSave="{1907718B-7A15-014A-B591-06C4EA20EE60}"/>
  <bookViews>
    <workbookView xWindow="-27320" yWindow="500" windowWidth="27300" windowHeight="14860" activeTab="2" xr2:uid="{00000000-000D-0000-FFFF-FFFF00000000}"/>
  </bookViews>
  <sheets>
    <sheet name="Premissas &amp; Parâmetros" sheetId="1" r:id="rId1"/>
    <sheet name="Orçado" sheetId="2" r:id="rId2"/>
    <sheet name="Realizado" sheetId="3" r:id="rId3"/>
    <sheet name="Variação Real x Orçado" sheetId="4" r:id="rId4"/>
    <sheet name="Dashboard Executivo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C5" i="2"/>
  <c r="B5" i="2"/>
  <c r="AZ34" i="4" l="1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</calcChain>
</file>

<file path=xl/sharedStrings.xml><?xml version="1.0" encoding="utf-8"?>
<sst xmlns="http://schemas.openxmlformats.org/spreadsheetml/2006/main" count="441" uniqueCount="221">
  <si>
    <t>NETFITS LTDA. — MATRIZ DE PREMISSAS, PARÂMETROS &amp; CURVA DE USUÁRIOS</t>
  </si>
  <si>
    <t>Base de Parâmetros Operacionais, Alíquotas Fiscais, FinOps e Curva de Crescimento (Out/2026 a Dez/2030)</t>
  </si>
  <si>
    <t>Categoria / Parâmetro</t>
  </si>
  <si>
    <t>Valor de Referência</t>
  </si>
  <si>
    <t>Fator de Cálculo</t>
  </si>
  <si>
    <t>Descrição Funcional &amp; Impacto no Modelo</t>
  </si>
  <si>
    <t>Mês / Ano</t>
  </si>
  <si>
    <t>Usuários Ativos (Base Oficial)</t>
  </si>
  <si>
    <t>GRUPO 1: MARKETPLACE SHOP (B2C)</t>
  </si>
  <si>
    <t>Oct/26</t>
  </si>
  <si>
    <t>Take Rate Líquido Médio (Comissão Netfits)</t>
  </si>
  <si>
    <t>8,0%</t>
  </si>
  <si>
    <t>0.08</t>
  </si>
  <si>
    <t>Percentual retido pela Netfits sobre o GMV dos sellers</t>
  </si>
  <si>
    <t>Nov/26</t>
  </si>
  <si>
    <t>Ticket Médio de Gasto por Compra</t>
  </si>
  <si>
    <t>R$ 200,00</t>
  </si>
  <si>
    <t>200.00</t>
  </si>
  <si>
    <t>Valor médio de cada transação de produtos e suplementos</t>
  </si>
  <si>
    <t>Dec/26</t>
  </si>
  <si>
    <t>Frequência de Compras por Cliente Ativo</t>
  </si>
  <si>
    <t>1 compra / mês</t>
  </si>
  <si>
    <t>1.00</t>
  </si>
  <si>
    <t>Média de pedidos mensais por cliente comprador</t>
  </si>
  <si>
    <t>Jan/27</t>
  </si>
  <si>
    <t>Taxa de Conversão de Compradores no Shop</t>
  </si>
  <si>
    <t>5,0%</t>
  </si>
  <si>
    <t>0.05</t>
  </si>
  <si>
    <t>% da base total de atletas que realizam compras mensais</t>
  </si>
  <si>
    <t>Feb/27</t>
  </si>
  <si>
    <t>Pontos nfs Emitidos por Real Gasto</t>
  </si>
  <si>
    <t>2 nfs / R$</t>
  </si>
  <si>
    <t>2.00</t>
  </si>
  <si>
    <t>Recompensa padrão de pontos no marketplace</t>
  </si>
  <si>
    <t>Mar/27</t>
  </si>
  <si>
    <t>GRUPO 2: PROGRAMA DE ASSOCIADOS &amp; PARCEIROS (B2B)</t>
  </si>
  <si>
    <t>Apr/27</t>
  </si>
  <si>
    <t>Comissão de Revenue Share aos Associados</t>
  </si>
  <si>
    <t>10,0%</t>
  </si>
  <si>
    <t>0.10</t>
  </si>
  <si>
    <t>Repasse aos médicos, nutricionistas e treinadores sobre a receita gerada</t>
  </si>
  <si>
    <t>May/27</t>
  </si>
  <si>
    <t>Taxa de Retenção de Clientes por Associado</t>
  </si>
  <si>
    <t>85,0%</t>
  </si>
  <si>
    <t>0.85</t>
  </si>
  <si>
    <t>Fidelização média de alunos e pacientes na plataforma</t>
  </si>
  <si>
    <t>Jun/27</t>
  </si>
  <si>
    <t>Carência para Apuração de Estornos</t>
  </si>
  <si>
    <t>30 a 60 dias</t>
  </si>
  <si>
    <t>45</t>
  </si>
  <si>
    <t>Janela de apuração contábil antes da liquidação do repasse</t>
  </si>
  <si>
    <t>Jul/27</t>
  </si>
  <si>
    <t>GRUPO 3: PROGRAMA DE PONTOS NFS &amp; PASSIVO CIRCULANTE</t>
  </si>
  <si>
    <t>Aug/27</t>
  </si>
  <si>
    <t>Custo de Provisão de Pontos (CPP Emissão)</t>
  </si>
  <si>
    <t>R$ 0,010</t>
  </si>
  <si>
    <t>0.010</t>
  </si>
  <si>
    <t>Provisão de caixa depositada a cada ponto nfs emitido</t>
  </si>
  <si>
    <t>Sep/27</t>
  </si>
  <si>
    <t>Custo de Resgate de Pontos (CPP Resgate)</t>
  </si>
  <si>
    <t>Custo unitário do ponto quando resgatado em produtos/serviços</t>
  </si>
  <si>
    <t>Oct/27</t>
  </si>
  <si>
    <t>Spread de Preço de Pontos (Ganho Líquido)</t>
  </si>
  <si>
    <t>Diferença entre emissão para parceiros e custo de resgate</t>
  </si>
  <si>
    <t>Nov/27</t>
  </si>
  <si>
    <t>Prazo de Expiração por Inatividade (FEFO)</t>
  </si>
  <si>
    <t>360 dias</t>
  </si>
  <si>
    <t>360</t>
  </si>
  <si>
    <t>Cancelamento de saldo após 1 ano sem atividade esportiva</t>
  </si>
  <si>
    <t>Dec/27</t>
  </si>
  <si>
    <t>GRUPO 4: MÍDIA, FEED &amp; RETAIL MEDIA</t>
  </si>
  <si>
    <t>Jan/28</t>
  </si>
  <si>
    <t>CPV (Custo por View com 100% Dwell Time)</t>
  </si>
  <si>
    <t>R$ 2,00</t>
  </si>
  <si>
    <t>Receita por visualização integral de vídeo publicitário</t>
  </si>
  <si>
    <t>Feb/28</t>
  </si>
  <si>
    <t>CPC (Custo por Clique no Feed)</t>
  </si>
  <si>
    <t>R$ 5,00</t>
  </si>
  <si>
    <t>5.00</t>
  </si>
  <si>
    <t>Receita por clique qualificado em anúncio institucional</t>
  </si>
  <si>
    <t>Mar/28</t>
  </si>
  <si>
    <t>Taxa de Conversão de Views no Feed</t>
  </si>
  <si>
    <t>2,0%</t>
  </si>
  <si>
    <t>0.02</t>
  </si>
  <si>
    <t>% de atletas que assistem vídeos patrocinados</t>
  </si>
  <si>
    <t>Apr/28</t>
  </si>
  <si>
    <t>Taxa de Conversão de Clicks no Feed</t>
  </si>
  <si>
    <t>1,0%</t>
  </si>
  <si>
    <t>0.01</t>
  </si>
  <si>
    <t>% de atletas que clicam em links patrocinados</t>
  </si>
  <si>
    <t>May/28</t>
  </si>
  <si>
    <t>GRUPO 5: TRIBUTAÇÃO &amp; REGIME FISCAL</t>
  </si>
  <si>
    <t>Jun/28</t>
  </si>
  <si>
    <t>Alíquota Inicial (Simples Nacional)</t>
  </si>
  <si>
    <t>6,0%</t>
  </si>
  <si>
    <t>0.06</t>
  </si>
  <si>
    <t>Tributação sobre serviços para faturamento até R$ 4,8M/ano</t>
  </si>
  <si>
    <t>Jul/28</t>
  </si>
  <si>
    <t>Alíquota Lucro Presumido (São Paulo)</t>
  </si>
  <si>
    <t>16,33%</t>
  </si>
  <si>
    <t>0.1633</t>
  </si>
  <si>
    <t>PIS/COFINS (3,65%) + IRPJ/CSLL (~7,68%) + ISS (5%)</t>
  </si>
  <si>
    <t>Aug/28</t>
  </si>
  <si>
    <t>Alíquota Lucro Presumido (Barueri / Otimizado)</t>
  </si>
  <si>
    <t>13,33%</t>
  </si>
  <si>
    <t>0.1333</t>
  </si>
  <si>
    <t>ISS reduzido de 2% a 3% + Tributos Federais</t>
  </si>
  <si>
    <t>Sep/28</t>
  </si>
  <si>
    <t>GRUPO 6: FINOPS &amp; SQUADS MULTIAGENTES DE IA</t>
  </si>
  <si>
    <t>Oct/28</t>
  </si>
  <si>
    <t>Squad de IA de Operação (8 Agentes)</t>
  </si>
  <si>
    <t>R$ 2.840,00 / mês</t>
  </si>
  <si>
    <t>2840.00</t>
  </si>
  <si>
    <t>Substitui 14 profissionais com 96,8% de economia</t>
  </si>
  <si>
    <t>Nov/28</t>
  </si>
  <si>
    <t>Squad de QA Autônomo (4 Agentes)</t>
  </si>
  <si>
    <t>R$ 48,60 / mês</t>
  </si>
  <si>
    <t>48.60</t>
  </si>
  <si>
    <t>Simulação de 24 personas e testes 24/7 com 99,8% de economia</t>
  </si>
  <si>
    <t>Dec/28</t>
  </si>
  <si>
    <t>Economia Total FinOps com IA vs CLT</t>
  </si>
  <si>
    <t>R$ 116.311,40 / mês</t>
  </si>
  <si>
    <t>116311.40</t>
  </si>
  <si>
    <t>Economia transferida diretamente para a margem EBITDA</t>
  </si>
  <si>
    <t>Jan/29</t>
  </si>
  <si>
    <t>Feb/29</t>
  </si>
  <si>
    <t>Mar/29</t>
  </si>
  <si>
    <t>Apr/29</t>
  </si>
  <si>
    <t>May/29</t>
  </si>
  <si>
    <t>Jun/29</t>
  </si>
  <si>
    <t>Jul/29</t>
  </si>
  <si>
    <t>Aug/29</t>
  </si>
  <si>
    <t>Sep/29</t>
  </si>
  <si>
    <t>Oct/29</t>
  </si>
  <si>
    <t>Nov/29</t>
  </si>
  <si>
    <t>Dec/29</t>
  </si>
  <si>
    <t>Jan/30</t>
  </si>
  <si>
    <t>Feb/30</t>
  </si>
  <si>
    <t>Mar/30</t>
  </si>
  <si>
    <t>Apr/30</t>
  </si>
  <si>
    <t>May/30</t>
  </si>
  <si>
    <t>Jun/30</t>
  </si>
  <si>
    <t>Jul/30</t>
  </si>
  <si>
    <t>Aug/30</t>
  </si>
  <si>
    <t>Sep/30</t>
  </si>
  <si>
    <t>Oct/30</t>
  </si>
  <si>
    <t>Nov/30</t>
  </si>
  <si>
    <t>Dec/30</t>
  </si>
  <si>
    <t>NETFITS LTDA. — DEMONSTRAÇÃO DO RESULTADO DO EXERCÍCIO (ORÇADO / BUSINESS CASE 2026-2030)</t>
  </si>
  <si>
    <t>Valores Planejados no Modelo de Negócios Oficial (Out/2026 a Dez/2030 - 51 Meses)</t>
  </si>
  <si>
    <t>Conta / Estrutura DRE</t>
  </si>
  <si>
    <t>USUÁRIOS ATIVOS DA PLATAFORMA</t>
  </si>
  <si>
    <t>RECEITA BRUTA</t>
  </si>
  <si>
    <t>Receita Marketplace (Shop)</t>
  </si>
  <si>
    <t>Receita Clube de Assinatura (Fase 2)</t>
  </si>
  <si>
    <t>Receita Total Mídia (Feed Views &amp; Clicks)</t>
  </si>
  <si>
    <t>Receita Serviços de Saúde &amp; Parceiros</t>
  </si>
  <si>
    <t>Receita Venda de Pontos Corporativos (B2B)</t>
  </si>
  <si>
    <t>TOTAL DA RECEITA BRUTA</t>
  </si>
  <si>
    <t>DEDUÇÕES DA RECEITA BRUTA</t>
  </si>
  <si>
    <t>Impostos sobre a Receita Bruta (Simples / Lucro Presumido)</t>
  </si>
  <si>
    <t>RECEITA LÍQUIDA TOTAL</t>
  </si>
  <si>
    <t>CUSTOS DIRETOS &amp; ENCARGOS DO PROGRAMA</t>
  </si>
  <si>
    <t>Despesa com Provisão de Pontos nfs (R$ 0,01/nfs)</t>
  </si>
  <si>
    <t>Comissões &amp; Repasses aos Associados (10% Revenue Share)</t>
  </si>
  <si>
    <t>Spread de Preço de Pontos (Emissão vs Resgate)</t>
  </si>
  <si>
    <t>MARGEM DE CONTRIBUIÇÃO (RECEITA PÓS ENCARGOS)</t>
  </si>
  <si>
    <t>DESPESAS OPERACIONAIS (OPEX)</t>
  </si>
  <si>
    <t>1. Pessoal &amp; Pró-Labore da Diretoria</t>
  </si>
  <si>
    <t>2. Squad de Agentes de IA Autônomos (8 Operação + 4 QA)</t>
  </si>
  <si>
    <t>3. Infraestrutura Cloud, Servidores &amp; Edge (Nitro/Cloudflare)</t>
  </si>
  <si>
    <t>4. Estrutura de Dados, Ledger &amp; Analytics (Postgres/BigQuery)</t>
  </si>
  <si>
    <t>5. CRM, WhatsApp API Transacional &amp; Mensageria Omnichannel</t>
  </si>
  <si>
    <t>6. Segurança, Observabilidade &amp; Ferramentas FinOps</t>
  </si>
  <si>
    <t>7. Despesas Administrativas &amp; Gerais</t>
  </si>
  <si>
    <t>RESULTADOS &amp; LUCRATIVIDADE</t>
  </si>
  <si>
    <t>EBITDA / LAJIDA (LUCRO ANTES DE JUROS E IMPOSTOS)</t>
  </si>
  <si>
    <t>Resultado Financeiro Líquido</t>
  </si>
  <si>
    <t>Tributos sobre o Lucro (IRPJ &amp; CSLL - Pós-Simples)</t>
  </si>
  <si>
    <t>LUCRO LÍQUIDO DO EXERCÍCIO</t>
  </si>
  <si>
    <t>LUCRO LÍQUIDO ACUMULADO (FLUXO DE CAIXA)</t>
  </si>
  <si>
    <t>NETFITS LTDA. — DEMONSTRAÇÃO DO RESULTADO DO EXERCÍCIO (REALIZADO / CONTABILIDADE)</t>
  </si>
  <si>
    <t>Acompanhamento dos Lançamentos Financeiros e Fiscais Reais Mensais</t>
  </si>
  <si>
    <t>NETFITS LTDA. — PAINEL COMPARATIVO REAL x ORÇADO (VARIAÇÃO NOMINAL &amp; PERCENTUAL)</t>
  </si>
  <si>
    <t>Análise de Desvios (Variance Analysis): Realizado (-) Orçado e % de Atingimento de Metas</t>
  </si>
  <si>
    <t>NETFITS LTDA. — DASHBOARD EXECUTIVO REAL x ORÇADO (2026 A 2030)</t>
  </si>
  <si>
    <t>Visão Executiva Consolidada por Ano, Margens Operacionais e Indicadores de Tração</t>
  </si>
  <si>
    <t>VPL DO FLUXO DE CAIXA (DEZ/30)</t>
  </si>
  <si>
    <t>TOTAL USUÁRIOS (DEZ/2030)</t>
  </si>
  <si>
    <t>RECEITA BRUTA ANUAL (2030)</t>
  </si>
  <si>
    <t>ECONOMIA FINOPS IA SQUADS</t>
  </si>
  <si>
    <t>R$ 116.219.061,57</t>
  </si>
  <si>
    <t>3.000.000 Atletas</t>
  </si>
  <si>
    <t>R$ 102.730.000,00</t>
  </si>
  <si>
    <t>R$ 1.395.736,80 / ano</t>
  </si>
  <si>
    <t>Taxa de Desconto: 1% a.m.</t>
  </si>
  <si>
    <t>Meta Nacional Atingida</t>
  </si>
  <si>
    <t>Marketplace + Mídia + B2B</t>
  </si>
  <si>
    <t>97,6% Redução de OPEX</t>
  </si>
  <si>
    <t>INDICADOR CONSOLIDADO (R$)</t>
  </si>
  <si>
    <t>2026 (Launch)</t>
  </si>
  <si>
    <t>2027 (Scale)</t>
  </si>
  <si>
    <t>2028 (Growth)</t>
  </si>
  <si>
    <t>2029 (Expansion)</t>
  </si>
  <si>
    <t>2030 (Maturity)</t>
  </si>
  <si>
    <t>TOTAL ACUMULADO</t>
  </si>
  <si>
    <t>Usuários Ativos (Fim de Período)</t>
  </si>
  <si>
    <t>Receita Bruta Orçada (R$)</t>
  </si>
  <si>
    <t>Receita Líquida Orçada (R$)</t>
  </si>
  <si>
    <t>Repasses Associados / Embaixadores</t>
  </si>
  <si>
    <t>Provisão de Pontos nfs (Custo Direto)</t>
  </si>
  <si>
    <t>OPEX Total (Squads IA + Cloud + Pessoal)</t>
  </si>
  <si>
    <t>EBITDA / LAJIDA Orçado (R$)</t>
  </si>
  <si>
    <t>Lucro Líquido do Exercício (R$)</t>
  </si>
  <si>
    <t>Margem Líquida (%)</t>
  </si>
  <si>
    <t>-527,5%</t>
  </si>
  <si>
    <t>59,8%</t>
  </si>
  <si>
    <t>74,5%</t>
  </si>
  <si>
    <t>71,0%</t>
  </si>
  <si>
    <t>65,1%</t>
  </si>
  <si>
    <t>68,7%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</si>
</sst>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A3E635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18181B"/>
      <name val="Calibri"/>
      <family val="2"/>
    </font>
    <font>
      <b/>
      <sz val="10"/>
      <color rgb="FF18181B"/>
      <name val="Calibri"/>
      <family val="2"/>
    </font>
    <font>
      <b/>
      <sz val="9"/>
      <color rgb="FF71717A"/>
      <name val="Calibri"/>
      <family val="2"/>
    </font>
    <font>
      <b/>
      <sz val="14"/>
      <color rgb="FF7C3AE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8181B"/>
        <bgColor rgb="FF18181B"/>
      </patternFill>
    </fill>
    <fill>
      <patternFill patternType="solid">
        <fgColor rgb="FF27272A"/>
        <bgColor rgb="FF27272A"/>
      </patternFill>
    </fill>
    <fill>
      <patternFill patternType="solid">
        <fgColor rgb="FF7C3AED"/>
        <bgColor rgb="FF7C3AED"/>
      </patternFill>
    </fill>
    <fill>
      <patternFill patternType="solid">
        <fgColor rgb="FFF9FAFB"/>
        <bgColor rgb="FFF9FAFB"/>
      </patternFill>
    </fill>
    <fill>
      <patternFill patternType="solid">
        <fgColor rgb="FFECFDF5"/>
        <bgColor rgb="FFECFDF5"/>
      </patternFill>
    </fill>
    <fill>
      <patternFill patternType="solid">
        <fgColor rgb="FFE4E4E7"/>
        <bgColor rgb="FFE4E4E7"/>
      </patternFill>
    </fill>
    <fill>
      <patternFill patternType="solid">
        <fgColor rgb="FFF4F4F6"/>
        <bgColor rgb="FFF4F4F6"/>
      </patternFill>
    </fill>
  </fills>
  <borders count="3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double">
        <color rgb="FF18181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0" xfId="0" applyFont="1" applyFill="1"/>
    <xf numFmtId="0" fontId="4" fillId="4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6" fillId="6" borderId="1" xfId="0" applyFont="1" applyFill="1" applyBorder="1"/>
    <xf numFmtId="3" fontId="6" fillId="6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164" fontId="5" fillId="5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6" fillId="7" borderId="1" xfId="0" applyFont="1" applyFill="1" applyBorder="1"/>
    <xf numFmtId="164" fontId="6" fillId="7" borderId="1" xfId="0" applyNumberFormat="1" applyFont="1" applyFill="1" applyBorder="1" applyAlignment="1">
      <alignment horizontal="right" vertical="center"/>
    </xf>
    <xf numFmtId="164" fontId="6" fillId="6" borderId="2" xfId="0" applyNumberFormat="1" applyFont="1" applyFill="1" applyBorder="1" applyAlignment="1">
      <alignment horizontal="right" vertic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1" fillId="2" borderId="0" xfId="0" applyFont="1" applyFill="1"/>
    <xf numFmtId="0" fontId="7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workbookViewId="0">
      <selection activeCell="G8" sqref="G8:G55"/>
    </sheetView>
  </sheetViews>
  <sheetFormatPr baseColWidth="10" defaultColWidth="8.83203125" defaultRowHeight="15" x14ac:dyDescent="0.2"/>
  <cols>
    <col min="1" max="1" width="44" customWidth="1"/>
    <col min="2" max="2" width="22" customWidth="1"/>
    <col min="3" max="3" width="16" customWidth="1"/>
    <col min="4" max="4" width="65" customWidth="1"/>
    <col min="5" max="5" width="4" customWidth="1"/>
    <col min="6" max="6" width="14" customWidth="1"/>
    <col min="7" max="7" width="28" customWidth="1"/>
  </cols>
  <sheetData>
    <row r="1" spans="1:7" ht="21" x14ac:dyDescent="0.2">
      <c r="A1" s="27" t="s">
        <v>0</v>
      </c>
      <c r="B1" s="26"/>
      <c r="C1" s="26"/>
      <c r="D1" s="26"/>
      <c r="E1" s="26"/>
    </row>
    <row r="2" spans="1:7" x14ac:dyDescent="0.2">
      <c r="A2" s="25" t="s">
        <v>1</v>
      </c>
      <c r="B2" s="26"/>
      <c r="C2" s="26"/>
      <c r="D2" s="26"/>
      <c r="E2" s="26"/>
    </row>
    <row r="4" spans="1:7" x14ac:dyDescent="0.2">
      <c r="A4" s="1" t="s">
        <v>2</v>
      </c>
      <c r="B4" s="1" t="s">
        <v>3</v>
      </c>
      <c r="C4" s="1" t="s">
        <v>4</v>
      </c>
      <c r="D4" s="1" t="s">
        <v>5</v>
      </c>
      <c r="F4" s="1" t="s">
        <v>6</v>
      </c>
      <c r="G4" s="1" t="s">
        <v>7</v>
      </c>
    </row>
    <row r="5" spans="1:7" x14ac:dyDescent="0.2">
      <c r="A5" s="2" t="s">
        <v>8</v>
      </c>
      <c r="B5" s="2"/>
      <c r="C5" s="2"/>
      <c r="D5" s="2"/>
      <c r="F5" s="3" t="s">
        <v>9</v>
      </c>
      <c r="G5" s="1">
        <v>100</v>
      </c>
    </row>
    <row r="6" spans="1:7" x14ac:dyDescent="0.2">
      <c r="A6" s="5" t="s">
        <v>10</v>
      </c>
      <c r="B6" s="6" t="s">
        <v>11</v>
      </c>
      <c r="C6" s="6" t="s">
        <v>12</v>
      </c>
      <c r="D6" s="5" t="s">
        <v>13</v>
      </c>
      <c r="F6" s="7" t="s">
        <v>14</v>
      </c>
      <c r="G6" s="4">
        <v>500</v>
      </c>
    </row>
    <row r="7" spans="1:7" x14ac:dyDescent="0.2">
      <c r="A7" s="9" t="s">
        <v>15</v>
      </c>
      <c r="B7" s="10" t="s">
        <v>16</v>
      </c>
      <c r="C7" s="10" t="s">
        <v>17</v>
      </c>
      <c r="D7" s="9" t="s">
        <v>18</v>
      </c>
      <c r="F7" s="3" t="s">
        <v>19</v>
      </c>
      <c r="G7" s="8">
        <v>1000</v>
      </c>
    </row>
    <row r="8" spans="1:7" x14ac:dyDescent="0.2">
      <c r="A8" s="5" t="s">
        <v>20</v>
      </c>
      <c r="B8" s="6" t="s">
        <v>21</v>
      </c>
      <c r="C8" s="6" t="s">
        <v>22</v>
      </c>
      <c r="D8" s="5" t="s">
        <v>23</v>
      </c>
      <c r="F8" s="7" t="s">
        <v>24</v>
      </c>
      <c r="G8" s="4">
        <v>1333</v>
      </c>
    </row>
    <row r="9" spans="1:7" x14ac:dyDescent="0.2">
      <c r="A9" s="9" t="s">
        <v>25</v>
      </c>
      <c r="B9" s="10" t="s">
        <v>26</v>
      </c>
      <c r="C9" s="10" t="s">
        <v>27</v>
      </c>
      <c r="D9" s="9" t="s">
        <v>28</v>
      </c>
      <c r="F9" s="3" t="s">
        <v>29</v>
      </c>
      <c r="G9" s="8">
        <v>1750</v>
      </c>
    </row>
    <row r="10" spans="1:7" x14ac:dyDescent="0.2">
      <c r="A10" s="5" t="s">
        <v>30</v>
      </c>
      <c r="B10" s="6" t="s">
        <v>31</v>
      </c>
      <c r="C10" s="6" t="s">
        <v>32</v>
      </c>
      <c r="D10" s="5" t="s">
        <v>33</v>
      </c>
      <c r="F10" s="7" t="s">
        <v>34</v>
      </c>
      <c r="G10" s="4">
        <v>5000</v>
      </c>
    </row>
    <row r="11" spans="1:7" x14ac:dyDescent="0.2">
      <c r="A11" s="2" t="s">
        <v>35</v>
      </c>
      <c r="B11" s="2"/>
      <c r="C11" s="2"/>
      <c r="D11" s="2"/>
      <c r="F11" s="3" t="s">
        <v>36</v>
      </c>
      <c r="G11" s="8">
        <v>15000</v>
      </c>
    </row>
    <row r="12" spans="1:7" x14ac:dyDescent="0.2">
      <c r="A12" s="5" t="s">
        <v>37</v>
      </c>
      <c r="B12" s="6" t="s">
        <v>38</v>
      </c>
      <c r="C12" s="6" t="s">
        <v>39</v>
      </c>
      <c r="D12" s="5" t="s">
        <v>40</v>
      </c>
      <c r="F12" s="7" t="s">
        <v>41</v>
      </c>
      <c r="G12" s="4">
        <v>50000</v>
      </c>
    </row>
    <row r="13" spans="1:7" x14ac:dyDescent="0.2">
      <c r="A13" s="9" t="s">
        <v>42</v>
      </c>
      <c r="B13" s="10" t="s">
        <v>43</v>
      </c>
      <c r="C13" s="10" t="s">
        <v>44</v>
      </c>
      <c r="D13" s="9" t="s">
        <v>45</v>
      </c>
      <c r="F13" s="3" t="s">
        <v>46</v>
      </c>
      <c r="G13" s="8">
        <v>100000</v>
      </c>
    </row>
    <row r="14" spans="1:7" x14ac:dyDescent="0.2">
      <c r="A14" s="5" t="s">
        <v>47</v>
      </c>
      <c r="B14" s="6" t="s">
        <v>48</v>
      </c>
      <c r="C14" s="6" t="s">
        <v>49</v>
      </c>
      <c r="D14" s="5" t="s">
        <v>50</v>
      </c>
      <c r="F14" s="7" t="s">
        <v>51</v>
      </c>
      <c r="G14" s="4">
        <v>200000</v>
      </c>
    </row>
    <row r="15" spans="1:7" x14ac:dyDescent="0.2">
      <c r="A15" s="2" t="s">
        <v>52</v>
      </c>
      <c r="B15" s="2"/>
      <c r="C15" s="2"/>
      <c r="D15" s="2"/>
      <c r="F15" s="3" t="s">
        <v>53</v>
      </c>
      <c r="G15" s="8">
        <v>500000</v>
      </c>
    </row>
    <row r="16" spans="1:7" x14ac:dyDescent="0.2">
      <c r="A16" s="5" t="s">
        <v>54</v>
      </c>
      <c r="B16" s="6" t="s">
        <v>55</v>
      </c>
      <c r="C16" s="6" t="s">
        <v>56</v>
      </c>
      <c r="D16" s="5" t="s">
        <v>57</v>
      </c>
      <c r="F16" s="7" t="s">
        <v>58</v>
      </c>
      <c r="G16" s="4">
        <v>750000</v>
      </c>
    </row>
    <row r="17" spans="1:7" x14ac:dyDescent="0.2">
      <c r="A17" s="9" t="s">
        <v>59</v>
      </c>
      <c r="B17" s="10" t="s">
        <v>55</v>
      </c>
      <c r="C17" s="10" t="s">
        <v>56</v>
      </c>
      <c r="D17" s="9" t="s">
        <v>60</v>
      </c>
      <c r="F17" s="3" t="s">
        <v>61</v>
      </c>
      <c r="G17" s="8">
        <v>875000</v>
      </c>
    </row>
    <row r="18" spans="1:7" x14ac:dyDescent="0.2">
      <c r="A18" s="5" t="s">
        <v>62</v>
      </c>
      <c r="B18" s="6" t="s">
        <v>55</v>
      </c>
      <c r="C18" s="6" t="s">
        <v>56</v>
      </c>
      <c r="D18" s="5" t="s">
        <v>63</v>
      </c>
      <c r="F18" s="7" t="s">
        <v>64</v>
      </c>
      <c r="G18" s="4">
        <v>950000</v>
      </c>
    </row>
    <row r="19" spans="1:7" x14ac:dyDescent="0.2">
      <c r="A19" s="9" t="s">
        <v>65</v>
      </c>
      <c r="B19" s="10" t="s">
        <v>66</v>
      </c>
      <c r="C19" s="10" t="s">
        <v>67</v>
      </c>
      <c r="D19" s="9" t="s">
        <v>68</v>
      </c>
      <c r="F19" s="3" t="s">
        <v>69</v>
      </c>
      <c r="G19" s="8">
        <v>1000000</v>
      </c>
    </row>
    <row r="20" spans="1:7" x14ac:dyDescent="0.2">
      <c r="A20" s="2" t="s">
        <v>70</v>
      </c>
      <c r="B20" s="2"/>
      <c r="C20" s="2"/>
      <c r="D20" s="2"/>
      <c r="F20" s="7" t="s">
        <v>71</v>
      </c>
      <c r="G20" s="4">
        <v>1100000</v>
      </c>
    </row>
    <row r="21" spans="1:7" x14ac:dyDescent="0.2">
      <c r="A21" s="9" t="s">
        <v>72</v>
      </c>
      <c r="B21" s="10" t="s">
        <v>73</v>
      </c>
      <c r="C21" s="10" t="s">
        <v>32</v>
      </c>
      <c r="D21" s="9" t="s">
        <v>74</v>
      </c>
      <c r="F21" s="3" t="s">
        <v>75</v>
      </c>
      <c r="G21" s="8">
        <v>1200000</v>
      </c>
    </row>
    <row r="22" spans="1:7" x14ac:dyDescent="0.2">
      <c r="A22" s="5" t="s">
        <v>76</v>
      </c>
      <c r="B22" s="6" t="s">
        <v>77</v>
      </c>
      <c r="C22" s="6" t="s">
        <v>78</v>
      </c>
      <c r="D22" s="5" t="s">
        <v>79</v>
      </c>
      <c r="F22" s="7" t="s">
        <v>80</v>
      </c>
      <c r="G22" s="4">
        <v>1300000</v>
      </c>
    </row>
    <row r="23" spans="1:7" x14ac:dyDescent="0.2">
      <c r="A23" s="9" t="s">
        <v>81</v>
      </c>
      <c r="B23" s="10" t="s">
        <v>82</v>
      </c>
      <c r="C23" s="10" t="s">
        <v>83</v>
      </c>
      <c r="D23" s="9" t="s">
        <v>84</v>
      </c>
      <c r="F23" s="3" t="s">
        <v>85</v>
      </c>
      <c r="G23" s="8">
        <v>1400000</v>
      </c>
    </row>
    <row r="24" spans="1:7" x14ac:dyDescent="0.2">
      <c r="A24" s="5" t="s">
        <v>86</v>
      </c>
      <c r="B24" s="6" t="s">
        <v>87</v>
      </c>
      <c r="C24" s="6" t="s">
        <v>88</v>
      </c>
      <c r="D24" s="5" t="s">
        <v>89</v>
      </c>
      <c r="F24" s="7" t="s">
        <v>90</v>
      </c>
      <c r="G24" s="4">
        <v>1500000</v>
      </c>
    </row>
    <row r="25" spans="1:7" x14ac:dyDescent="0.2">
      <c r="A25" s="2" t="s">
        <v>91</v>
      </c>
      <c r="B25" s="2"/>
      <c r="C25" s="2"/>
      <c r="D25" s="2"/>
      <c r="F25" s="3" t="s">
        <v>92</v>
      </c>
      <c r="G25" s="8">
        <v>1600000</v>
      </c>
    </row>
    <row r="26" spans="1:7" x14ac:dyDescent="0.2">
      <c r="A26" s="5" t="s">
        <v>93</v>
      </c>
      <c r="B26" s="6" t="s">
        <v>94</v>
      </c>
      <c r="C26" s="6" t="s">
        <v>95</v>
      </c>
      <c r="D26" s="5" t="s">
        <v>96</v>
      </c>
      <c r="F26" s="7" t="s">
        <v>97</v>
      </c>
      <c r="G26" s="4">
        <v>1675000</v>
      </c>
    </row>
    <row r="27" spans="1:7" x14ac:dyDescent="0.2">
      <c r="A27" s="9" t="s">
        <v>98</v>
      </c>
      <c r="B27" s="10" t="s">
        <v>99</v>
      </c>
      <c r="C27" s="10" t="s">
        <v>100</v>
      </c>
      <c r="D27" s="9" t="s">
        <v>101</v>
      </c>
      <c r="F27" s="3" t="s">
        <v>102</v>
      </c>
      <c r="G27" s="8">
        <v>1750000</v>
      </c>
    </row>
    <row r="28" spans="1:7" x14ac:dyDescent="0.2">
      <c r="A28" s="5" t="s">
        <v>103</v>
      </c>
      <c r="B28" s="6" t="s">
        <v>104</v>
      </c>
      <c r="C28" s="6" t="s">
        <v>105</v>
      </c>
      <c r="D28" s="5" t="s">
        <v>106</v>
      </c>
      <c r="F28" s="7" t="s">
        <v>107</v>
      </c>
      <c r="G28" s="4">
        <v>1825000</v>
      </c>
    </row>
    <row r="29" spans="1:7" x14ac:dyDescent="0.2">
      <c r="A29" s="2" t="s">
        <v>108</v>
      </c>
      <c r="B29" s="2"/>
      <c r="C29" s="2"/>
      <c r="D29" s="2"/>
      <c r="F29" s="3" t="s">
        <v>109</v>
      </c>
      <c r="G29" s="8">
        <v>1890000</v>
      </c>
    </row>
    <row r="30" spans="1:7" x14ac:dyDescent="0.2">
      <c r="A30" s="5" t="s">
        <v>110</v>
      </c>
      <c r="B30" s="6" t="s">
        <v>111</v>
      </c>
      <c r="C30" s="6" t="s">
        <v>112</v>
      </c>
      <c r="D30" s="5" t="s">
        <v>113</v>
      </c>
      <c r="F30" s="7" t="s">
        <v>114</v>
      </c>
      <c r="G30" s="4">
        <v>1950000</v>
      </c>
    </row>
    <row r="31" spans="1:7" x14ac:dyDescent="0.2">
      <c r="A31" s="9" t="s">
        <v>115</v>
      </c>
      <c r="B31" s="10" t="s">
        <v>116</v>
      </c>
      <c r="C31" s="10" t="s">
        <v>117</v>
      </c>
      <c r="D31" s="9" t="s">
        <v>118</v>
      </c>
      <c r="F31" s="3" t="s">
        <v>119</v>
      </c>
      <c r="G31" s="8">
        <v>2000000</v>
      </c>
    </row>
    <row r="32" spans="1:7" x14ac:dyDescent="0.2">
      <c r="A32" s="5" t="s">
        <v>120</v>
      </c>
      <c r="B32" s="6" t="s">
        <v>121</v>
      </c>
      <c r="C32" s="6" t="s">
        <v>122</v>
      </c>
      <c r="D32" s="5" t="s">
        <v>123</v>
      </c>
      <c r="F32" s="7" t="s">
        <v>124</v>
      </c>
      <c r="G32" s="4">
        <v>2050000</v>
      </c>
    </row>
    <row r="33" spans="6:7" x14ac:dyDescent="0.2">
      <c r="F33" s="3" t="s">
        <v>125</v>
      </c>
      <c r="G33" s="8">
        <v>2100000</v>
      </c>
    </row>
    <row r="34" spans="6:7" x14ac:dyDescent="0.2">
      <c r="F34" s="7" t="s">
        <v>126</v>
      </c>
      <c r="G34" s="4">
        <v>2150000</v>
      </c>
    </row>
    <row r="35" spans="6:7" x14ac:dyDescent="0.2">
      <c r="F35" s="3" t="s">
        <v>127</v>
      </c>
      <c r="G35" s="8">
        <v>2200000</v>
      </c>
    </row>
    <row r="36" spans="6:7" x14ac:dyDescent="0.2">
      <c r="F36" s="7" t="s">
        <v>128</v>
      </c>
      <c r="G36" s="4">
        <v>2250000</v>
      </c>
    </row>
    <row r="37" spans="6:7" x14ac:dyDescent="0.2">
      <c r="F37" s="3" t="s">
        <v>129</v>
      </c>
      <c r="G37" s="8">
        <v>2300000</v>
      </c>
    </row>
    <row r="38" spans="6:7" x14ac:dyDescent="0.2">
      <c r="F38" s="7" t="s">
        <v>130</v>
      </c>
      <c r="G38" s="4">
        <v>2350000</v>
      </c>
    </row>
    <row r="39" spans="6:7" x14ac:dyDescent="0.2">
      <c r="F39" s="3" t="s">
        <v>131</v>
      </c>
      <c r="G39" s="8">
        <v>2400000</v>
      </c>
    </row>
    <row r="40" spans="6:7" x14ac:dyDescent="0.2">
      <c r="F40" s="7" t="s">
        <v>132</v>
      </c>
      <c r="G40" s="4">
        <v>2450000</v>
      </c>
    </row>
    <row r="41" spans="6:7" x14ac:dyDescent="0.2">
      <c r="F41" s="3" t="s">
        <v>133</v>
      </c>
      <c r="G41" s="8">
        <v>2500000</v>
      </c>
    </row>
    <row r="42" spans="6:7" x14ac:dyDescent="0.2">
      <c r="F42" s="7" t="s">
        <v>134</v>
      </c>
      <c r="G42" s="4">
        <v>2550000</v>
      </c>
    </row>
    <row r="43" spans="6:7" x14ac:dyDescent="0.2">
      <c r="F43" s="3" t="s">
        <v>135</v>
      </c>
      <c r="G43" s="8">
        <v>2600000</v>
      </c>
    </row>
    <row r="44" spans="6:7" x14ac:dyDescent="0.2">
      <c r="F44" s="7" t="s">
        <v>136</v>
      </c>
      <c r="G44" s="4">
        <v>2650000</v>
      </c>
    </row>
    <row r="45" spans="6:7" x14ac:dyDescent="0.2">
      <c r="F45" s="3" t="s">
        <v>137</v>
      </c>
      <c r="G45" s="8">
        <v>2700000</v>
      </c>
    </row>
    <row r="46" spans="6:7" x14ac:dyDescent="0.2">
      <c r="F46" s="7" t="s">
        <v>138</v>
      </c>
      <c r="G46" s="4">
        <v>2750000</v>
      </c>
    </row>
    <row r="47" spans="6:7" x14ac:dyDescent="0.2">
      <c r="F47" s="3" t="s">
        <v>139</v>
      </c>
      <c r="G47" s="8">
        <v>2800000</v>
      </c>
    </row>
    <row r="48" spans="6:7" x14ac:dyDescent="0.2">
      <c r="F48" s="7" t="s">
        <v>140</v>
      </c>
      <c r="G48" s="4">
        <v>2850000</v>
      </c>
    </row>
    <row r="49" spans="6:7" x14ac:dyDescent="0.2">
      <c r="F49" s="3" t="s">
        <v>141</v>
      </c>
      <c r="G49" s="8">
        <v>2900000</v>
      </c>
    </row>
    <row r="50" spans="6:7" x14ac:dyDescent="0.2">
      <c r="F50" s="7" t="s">
        <v>142</v>
      </c>
      <c r="G50" s="4">
        <v>2950000</v>
      </c>
    </row>
    <row r="51" spans="6:7" x14ac:dyDescent="0.2">
      <c r="F51" s="3" t="s">
        <v>143</v>
      </c>
      <c r="G51" s="8">
        <v>3000000</v>
      </c>
    </row>
    <row r="52" spans="6:7" x14ac:dyDescent="0.2">
      <c r="F52" s="7" t="s">
        <v>144</v>
      </c>
      <c r="G52" s="4">
        <v>3000000</v>
      </c>
    </row>
    <row r="53" spans="6:7" x14ac:dyDescent="0.2">
      <c r="F53" s="3" t="s">
        <v>145</v>
      </c>
      <c r="G53" s="8">
        <v>3000000</v>
      </c>
    </row>
    <row r="54" spans="6:7" x14ac:dyDescent="0.2">
      <c r="F54" s="7" t="s">
        <v>146</v>
      </c>
      <c r="G54" s="4">
        <v>3000000</v>
      </c>
    </row>
    <row r="55" spans="6:7" x14ac:dyDescent="0.2">
      <c r="F55" s="3" t="s">
        <v>147</v>
      </c>
      <c r="G55" s="8">
        <v>3000000</v>
      </c>
    </row>
    <row r="56" spans="6:7" x14ac:dyDescent="0.2">
      <c r="G56" s="4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34"/>
  <sheetViews>
    <sheetView topLeftCell="A11" workbookViewId="0">
      <selection activeCell="B34" sqref="B34"/>
    </sheetView>
  </sheetViews>
  <sheetFormatPr baseColWidth="10" defaultColWidth="8.83203125" defaultRowHeight="15" x14ac:dyDescent="0.2"/>
  <cols>
    <col min="1" max="1" width="46" customWidth="1"/>
    <col min="2" max="52" width="15" customWidth="1"/>
  </cols>
  <sheetData>
    <row r="1" spans="1:53" ht="21" x14ac:dyDescent="0.25">
      <c r="A1" s="29" t="s">
        <v>148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3" x14ac:dyDescent="0.2">
      <c r="A2" s="28" t="s">
        <v>149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4" spans="1:53" x14ac:dyDescent="0.2">
      <c r="A4" s="11" t="s">
        <v>150</v>
      </c>
      <c r="B4" s="12" t="s">
        <v>9</v>
      </c>
      <c r="C4" s="12" t="s">
        <v>14</v>
      </c>
      <c r="D4" s="12" t="s">
        <v>19</v>
      </c>
      <c r="E4" s="12" t="s">
        <v>24</v>
      </c>
      <c r="F4" s="12" t="s">
        <v>29</v>
      </c>
      <c r="G4" s="12" t="s">
        <v>34</v>
      </c>
      <c r="H4" s="12" t="s">
        <v>36</v>
      </c>
      <c r="I4" s="12" t="s">
        <v>41</v>
      </c>
      <c r="J4" s="12" t="s">
        <v>46</v>
      </c>
      <c r="K4" s="12" t="s">
        <v>51</v>
      </c>
      <c r="L4" s="12" t="s">
        <v>53</v>
      </c>
      <c r="M4" s="12" t="s">
        <v>58</v>
      </c>
      <c r="N4" s="12" t="s">
        <v>61</v>
      </c>
      <c r="O4" s="12" t="s">
        <v>64</v>
      </c>
      <c r="P4" s="12" t="s">
        <v>69</v>
      </c>
      <c r="Q4" s="12" t="s">
        <v>71</v>
      </c>
      <c r="R4" s="12" t="s">
        <v>75</v>
      </c>
      <c r="S4" s="12" t="s">
        <v>80</v>
      </c>
      <c r="T4" s="12" t="s">
        <v>85</v>
      </c>
      <c r="U4" s="12" t="s">
        <v>90</v>
      </c>
      <c r="V4" s="12" t="s">
        <v>92</v>
      </c>
      <c r="W4" s="12" t="s">
        <v>97</v>
      </c>
      <c r="X4" s="12" t="s">
        <v>102</v>
      </c>
      <c r="Y4" s="12" t="s">
        <v>107</v>
      </c>
      <c r="Z4" s="12" t="s">
        <v>109</v>
      </c>
      <c r="AA4" s="12" t="s">
        <v>114</v>
      </c>
      <c r="AB4" s="12" t="s">
        <v>119</v>
      </c>
      <c r="AC4" s="12" t="s">
        <v>124</v>
      </c>
      <c r="AD4" s="12" t="s">
        <v>125</v>
      </c>
      <c r="AE4" s="12" t="s">
        <v>126</v>
      </c>
      <c r="AF4" s="12" t="s">
        <v>127</v>
      </c>
      <c r="AG4" s="12" t="s">
        <v>128</v>
      </c>
      <c r="AH4" s="12" t="s">
        <v>129</v>
      </c>
      <c r="AI4" s="12" t="s">
        <v>130</v>
      </c>
      <c r="AJ4" s="12" t="s">
        <v>131</v>
      </c>
      <c r="AK4" s="12" t="s">
        <v>132</v>
      </c>
      <c r="AL4" s="12" t="s">
        <v>133</v>
      </c>
      <c r="AM4" s="12" t="s">
        <v>134</v>
      </c>
      <c r="AN4" s="12" t="s">
        <v>135</v>
      </c>
      <c r="AO4" s="12" t="s">
        <v>136</v>
      </c>
      <c r="AP4" s="12" t="s">
        <v>137</v>
      </c>
      <c r="AQ4" s="12" t="s">
        <v>138</v>
      </c>
      <c r="AR4" s="12" t="s">
        <v>139</v>
      </c>
      <c r="AS4" s="12" t="s">
        <v>140</v>
      </c>
      <c r="AT4" s="12" t="s">
        <v>141</v>
      </c>
      <c r="AU4" s="12" t="s">
        <v>142</v>
      </c>
      <c r="AV4" s="12" t="s">
        <v>143</v>
      </c>
      <c r="AW4" s="12" t="s">
        <v>144</v>
      </c>
      <c r="AX4" s="12" t="s">
        <v>145</v>
      </c>
      <c r="AY4" s="12" t="s">
        <v>146</v>
      </c>
      <c r="AZ4" s="12" t="s">
        <v>147</v>
      </c>
    </row>
    <row r="5" spans="1:53" x14ac:dyDescent="0.2">
      <c r="A5" s="13" t="s">
        <v>151</v>
      </c>
      <c r="B5" s="14">
        <f>'Premissas &amp; Parâmetros'!G5</f>
        <v>100</v>
      </c>
      <c r="C5" s="14">
        <f>'Premissas &amp; Parâmetros'!G6</f>
        <v>500</v>
      </c>
      <c r="D5" s="14">
        <f>'Premissas &amp; Parâmetros'!G7</f>
        <v>1000</v>
      </c>
      <c r="E5" s="14">
        <v>1333</v>
      </c>
      <c r="F5" s="14">
        <v>1750</v>
      </c>
      <c r="G5" s="14">
        <v>5000</v>
      </c>
      <c r="H5" s="14">
        <v>15000</v>
      </c>
      <c r="I5" s="14">
        <v>50000</v>
      </c>
      <c r="J5" s="14">
        <v>100000</v>
      </c>
      <c r="K5" s="14">
        <v>200000</v>
      </c>
      <c r="L5" s="14">
        <v>500000</v>
      </c>
      <c r="M5" s="14">
        <v>750000</v>
      </c>
      <c r="N5" s="14">
        <v>875000</v>
      </c>
      <c r="O5" s="14">
        <v>950000</v>
      </c>
      <c r="P5" s="14">
        <v>1000000</v>
      </c>
      <c r="Q5" s="14">
        <v>1100000</v>
      </c>
      <c r="R5" s="14">
        <v>1200000</v>
      </c>
      <c r="S5" s="14">
        <v>1300000</v>
      </c>
      <c r="T5" s="14">
        <v>1400000</v>
      </c>
      <c r="U5" s="14">
        <v>1500000</v>
      </c>
      <c r="V5" s="14">
        <v>1600000</v>
      </c>
      <c r="W5" s="14">
        <v>1675000</v>
      </c>
      <c r="X5" s="14">
        <v>1750000</v>
      </c>
      <c r="Y5" s="14">
        <v>1825000</v>
      </c>
      <c r="Z5" s="14">
        <v>1890000</v>
      </c>
      <c r="AA5" s="14">
        <v>1950000</v>
      </c>
      <c r="AB5" s="14">
        <v>2000000</v>
      </c>
      <c r="AC5" s="14">
        <v>2050000</v>
      </c>
      <c r="AD5" s="14">
        <v>2100000</v>
      </c>
      <c r="AE5" s="14">
        <v>2150000</v>
      </c>
      <c r="AF5" s="14">
        <v>2200000</v>
      </c>
      <c r="AG5" s="14">
        <v>2250000</v>
      </c>
      <c r="AH5" s="14">
        <v>2300000</v>
      </c>
      <c r="AI5" s="14">
        <v>2350000</v>
      </c>
      <c r="AJ5" s="14">
        <v>2400000</v>
      </c>
      <c r="AK5" s="14">
        <v>2450000</v>
      </c>
      <c r="AL5" s="14">
        <v>2500000</v>
      </c>
      <c r="AM5" s="14">
        <v>2550000</v>
      </c>
      <c r="AN5" s="14">
        <v>2600000</v>
      </c>
      <c r="AO5" s="14">
        <v>2650000</v>
      </c>
      <c r="AP5" s="14">
        <v>2700000</v>
      </c>
      <c r="AQ5" s="14">
        <v>2750000</v>
      </c>
      <c r="AR5" s="14">
        <v>2800000</v>
      </c>
      <c r="AS5" s="14">
        <v>2850000</v>
      </c>
      <c r="AT5" s="14">
        <v>2900000</v>
      </c>
      <c r="AU5" s="14">
        <v>2950000</v>
      </c>
      <c r="AV5" s="14">
        <v>3000000</v>
      </c>
      <c r="AW5" s="14">
        <v>3000000</v>
      </c>
      <c r="AX5" s="14">
        <v>3000000</v>
      </c>
      <c r="AY5" s="14">
        <v>3000000</v>
      </c>
      <c r="AZ5" s="14">
        <v>3000000</v>
      </c>
    </row>
    <row r="6" spans="1:53" x14ac:dyDescent="0.2">
      <c r="A6" s="2" t="s">
        <v>152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</row>
    <row r="7" spans="1:53" x14ac:dyDescent="0.2">
      <c r="A7" s="9" t="s">
        <v>153</v>
      </c>
      <c r="B7" s="16">
        <v>80</v>
      </c>
      <c r="C7" s="16">
        <v>400</v>
      </c>
      <c r="D7" s="16">
        <v>800</v>
      </c>
      <c r="E7" s="16">
        <v>1040</v>
      </c>
      <c r="F7" s="16">
        <v>1400</v>
      </c>
      <c r="G7" s="16">
        <v>4000</v>
      </c>
      <c r="H7" s="16">
        <v>12000</v>
      </c>
      <c r="I7" s="16">
        <v>40000</v>
      </c>
      <c r="J7" s="16">
        <v>80000</v>
      </c>
      <c r="K7" s="16">
        <v>160000</v>
      </c>
      <c r="L7" s="16">
        <v>400000</v>
      </c>
      <c r="M7" s="16">
        <v>600000</v>
      </c>
      <c r="N7" s="16">
        <v>700000</v>
      </c>
      <c r="O7" s="16">
        <v>760000</v>
      </c>
      <c r="P7" s="16">
        <v>800000</v>
      </c>
      <c r="Q7" s="16">
        <v>880000</v>
      </c>
      <c r="R7" s="16">
        <v>960000</v>
      </c>
      <c r="S7" s="16">
        <v>1040000</v>
      </c>
      <c r="T7" s="16">
        <v>1120000</v>
      </c>
      <c r="U7" s="16">
        <v>1200000</v>
      </c>
      <c r="V7" s="16">
        <v>1280000</v>
      </c>
      <c r="W7" s="16">
        <v>1340000</v>
      </c>
      <c r="X7" s="16">
        <v>1400000</v>
      </c>
      <c r="Y7" s="16">
        <v>1460000</v>
      </c>
      <c r="Z7" s="16">
        <v>1512000</v>
      </c>
      <c r="AA7" s="16">
        <v>1560000</v>
      </c>
      <c r="AB7" s="16">
        <v>1600000</v>
      </c>
      <c r="AC7" s="16">
        <v>1640000</v>
      </c>
      <c r="AD7" s="16">
        <v>1680000</v>
      </c>
      <c r="AE7" s="16">
        <v>1720000</v>
      </c>
      <c r="AF7" s="16">
        <v>1760000</v>
      </c>
      <c r="AG7" s="16">
        <v>1800000</v>
      </c>
      <c r="AH7" s="16">
        <v>1840000</v>
      </c>
      <c r="AI7" s="16">
        <v>1880000</v>
      </c>
      <c r="AJ7" s="16">
        <v>1920000</v>
      </c>
      <c r="AK7" s="16">
        <v>1960000</v>
      </c>
      <c r="AL7" s="16">
        <v>2000000</v>
      </c>
      <c r="AM7" s="16">
        <v>2040000</v>
      </c>
      <c r="AN7" s="16">
        <v>2080000</v>
      </c>
      <c r="AO7" s="16">
        <v>2120000</v>
      </c>
      <c r="AP7" s="16">
        <v>2160000</v>
      </c>
      <c r="AQ7" s="16">
        <v>2200000</v>
      </c>
      <c r="AR7" s="16">
        <v>2240000</v>
      </c>
      <c r="AS7" s="16">
        <v>2280000</v>
      </c>
      <c r="AT7" s="16">
        <v>2320000</v>
      </c>
      <c r="AU7" s="16">
        <v>2360000</v>
      </c>
      <c r="AV7" s="16">
        <v>2400000</v>
      </c>
      <c r="AW7" s="16">
        <v>2400000</v>
      </c>
      <c r="AX7" s="16">
        <v>2400000</v>
      </c>
      <c r="AY7" s="16">
        <v>2400000</v>
      </c>
      <c r="AZ7" s="16">
        <v>2400000</v>
      </c>
    </row>
    <row r="8" spans="1:53" x14ac:dyDescent="0.2">
      <c r="A8" s="5" t="s">
        <v>154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3980</v>
      </c>
      <c r="L8" s="17">
        <v>9950</v>
      </c>
      <c r="M8" s="17">
        <v>14925</v>
      </c>
      <c r="N8" s="17">
        <v>17412.5</v>
      </c>
      <c r="O8" s="17">
        <v>18905</v>
      </c>
      <c r="P8" s="17">
        <v>19900</v>
      </c>
      <c r="Q8" s="17">
        <v>21890</v>
      </c>
      <c r="R8" s="17">
        <v>23880</v>
      </c>
      <c r="S8" s="17">
        <v>25870</v>
      </c>
      <c r="T8" s="17">
        <v>27860</v>
      </c>
      <c r="U8" s="17">
        <v>29850</v>
      </c>
      <c r="V8" s="17">
        <v>31840</v>
      </c>
      <c r="W8" s="17">
        <v>33332.5</v>
      </c>
      <c r="X8" s="17">
        <v>34825</v>
      </c>
      <c r="Y8" s="17">
        <v>36317.5</v>
      </c>
      <c r="Z8" s="17">
        <v>37611</v>
      </c>
      <c r="AA8" s="17">
        <v>38805</v>
      </c>
      <c r="AB8" s="17">
        <v>39800</v>
      </c>
      <c r="AC8" s="17">
        <v>40795</v>
      </c>
      <c r="AD8" s="17">
        <v>41790</v>
      </c>
      <c r="AE8" s="17">
        <v>42785</v>
      </c>
      <c r="AF8" s="17">
        <v>43780</v>
      </c>
      <c r="AG8" s="17">
        <v>44775</v>
      </c>
      <c r="AH8" s="17">
        <v>45770</v>
      </c>
      <c r="AI8" s="17">
        <v>46765</v>
      </c>
      <c r="AJ8" s="17">
        <v>47760</v>
      </c>
      <c r="AK8" s="17">
        <v>48755</v>
      </c>
      <c r="AL8" s="17">
        <v>49750</v>
      </c>
      <c r="AM8" s="17">
        <v>50745</v>
      </c>
      <c r="AN8" s="17">
        <v>51739.999999999993</v>
      </c>
      <c r="AO8" s="17">
        <v>52734.999999999993</v>
      </c>
      <c r="AP8" s="17">
        <v>53729.999999999993</v>
      </c>
      <c r="AQ8" s="17">
        <v>54724.999999999993</v>
      </c>
      <c r="AR8" s="17">
        <v>55719.999999999993</v>
      </c>
      <c r="AS8" s="17">
        <v>56714.999999999993</v>
      </c>
      <c r="AT8" s="17">
        <v>57709.999999999993</v>
      </c>
      <c r="AU8" s="17">
        <v>58704.999999999993</v>
      </c>
      <c r="AV8" s="17">
        <v>59699.999999999993</v>
      </c>
      <c r="AW8" s="17">
        <v>59699.999999999993</v>
      </c>
      <c r="AX8" s="17">
        <v>59699.999999999993</v>
      </c>
      <c r="AY8" s="17">
        <v>59699.999999999993</v>
      </c>
      <c r="AZ8" s="17">
        <v>59699.999999999993</v>
      </c>
    </row>
    <row r="9" spans="1:53" x14ac:dyDescent="0.2">
      <c r="A9" s="9" t="s">
        <v>155</v>
      </c>
      <c r="B9" s="16">
        <v>0</v>
      </c>
      <c r="C9" s="16">
        <v>0</v>
      </c>
      <c r="D9" s="16">
        <v>0</v>
      </c>
      <c r="E9" s="16">
        <v>119.97</v>
      </c>
      <c r="F9" s="16">
        <v>315</v>
      </c>
      <c r="G9" s="16">
        <v>2250</v>
      </c>
      <c r="H9" s="16">
        <v>13500</v>
      </c>
      <c r="I9" s="16">
        <v>45000</v>
      </c>
      <c r="J9" s="16">
        <v>90000</v>
      </c>
      <c r="K9" s="16">
        <v>180000</v>
      </c>
      <c r="L9" s="16">
        <v>450000</v>
      </c>
      <c r="M9" s="16">
        <v>675000</v>
      </c>
      <c r="N9" s="16">
        <v>787500</v>
      </c>
      <c r="O9" s="16">
        <v>855000</v>
      </c>
      <c r="P9" s="16">
        <v>900000</v>
      </c>
      <c r="Q9" s="16">
        <v>990000</v>
      </c>
      <c r="R9" s="16">
        <v>1080000</v>
      </c>
      <c r="S9" s="16">
        <v>1170000</v>
      </c>
      <c r="T9" s="16">
        <v>1260000</v>
      </c>
      <c r="U9" s="16">
        <v>1350000</v>
      </c>
      <c r="V9" s="16">
        <v>1440000</v>
      </c>
      <c r="W9" s="16">
        <v>1507500</v>
      </c>
      <c r="X9" s="16">
        <v>1575000</v>
      </c>
      <c r="Y9" s="16">
        <v>1642500</v>
      </c>
      <c r="Z9" s="16">
        <v>1701000</v>
      </c>
      <c r="AA9" s="16">
        <v>1755000</v>
      </c>
      <c r="AB9" s="16">
        <v>1800000</v>
      </c>
      <c r="AC9" s="16">
        <v>1845000</v>
      </c>
      <c r="AD9" s="16">
        <v>1890000</v>
      </c>
      <c r="AE9" s="16">
        <v>1935000</v>
      </c>
      <c r="AF9" s="16">
        <v>1980000</v>
      </c>
      <c r="AG9" s="16">
        <v>2025000</v>
      </c>
      <c r="AH9" s="16">
        <v>2070000</v>
      </c>
      <c r="AI9" s="16">
        <v>2115000</v>
      </c>
      <c r="AJ9" s="16">
        <v>2160000</v>
      </c>
      <c r="AK9" s="16">
        <v>2205000</v>
      </c>
      <c r="AL9" s="16">
        <v>2250000</v>
      </c>
      <c r="AM9" s="16">
        <v>2295000</v>
      </c>
      <c r="AN9" s="16">
        <v>2340000</v>
      </c>
      <c r="AO9" s="16">
        <v>2385000</v>
      </c>
      <c r="AP9" s="16">
        <v>2430000</v>
      </c>
      <c r="AQ9" s="16">
        <v>2475000</v>
      </c>
      <c r="AR9" s="16">
        <v>2520000</v>
      </c>
      <c r="AS9" s="16">
        <v>2565000</v>
      </c>
      <c r="AT9" s="16">
        <v>2610000</v>
      </c>
      <c r="AU9" s="16">
        <v>2655000</v>
      </c>
      <c r="AV9" s="16">
        <v>2700000</v>
      </c>
      <c r="AW9" s="16">
        <v>2700000</v>
      </c>
      <c r="AX9" s="16">
        <v>2700000</v>
      </c>
      <c r="AY9" s="16">
        <v>2700000</v>
      </c>
      <c r="AZ9" s="16">
        <v>2700000</v>
      </c>
    </row>
    <row r="10" spans="1:53" x14ac:dyDescent="0.2">
      <c r="A10" s="5" t="s">
        <v>156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49437.5</v>
      </c>
      <c r="O10" s="17">
        <v>53675</v>
      </c>
      <c r="P10" s="17">
        <v>56500</v>
      </c>
      <c r="Q10" s="17">
        <v>62150</v>
      </c>
      <c r="R10" s="17">
        <v>67800</v>
      </c>
      <c r="S10" s="17">
        <v>73450</v>
      </c>
      <c r="T10" s="17">
        <v>79100</v>
      </c>
      <c r="U10" s="17">
        <v>84750</v>
      </c>
      <c r="V10" s="17">
        <v>90400</v>
      </c>
      <c r="W10" s="17">
        <v>94637.5</v>
      </c>
      <c r="X10" s="17">
        <v>98875</v>
      </c>
      <c r="Y10" s="17">
        <v>103112.5</v>
      </c>
      <c r="Z10" s="17">
        <v>106785</v>
      </c>
      <c r="AA10" s="17">
        <v>110175</v>
      </c>
      <c r="AB10" s="17">
        <v>113000</v>
      </c>
      <c r="AC10" s="17">
        <v>115825</v>
      </c>
      <c r="AD10" s="17">
        <v>118650</v>
      </c>
      <c r="AE10" s="17">
        <v>121475</v>
      </c>
      <c r="AF10" s="17">
        <v>124300</v>
      </c>
      <c r="AG10" s="17">
        <v>127125</v>
      </c>
      <c r="AH10" s="17">
        <v>129950</v>
      </c>
      <c r="AI10" s="17">
        <v>132775</v>
      </c>
      <c r="AJ10" s="17">
        <v>135600</v>
      </c>
      <c r="AK10" s="17">
        <v>138425</v>
      </c>
      <c r="AL10" s="17">
        <v>141250</v>
      </c>
      <c r="AM10" s="17">
        <v>144075</v>
      </c>
      <c r="AN10" s="17">
        <v>146900</v>
      </c>
      <c r="AO10" s="17">
        <v>149725</v>
      </c>
      <c r="AP10" s="17">
        <v>152550</v>
      </c>
      <c r="AQ10" s="17">
        <v>155375</v>
      </c>
      <c r="AR10" s="17">
        <v>158200</v>
      </c>
      <c r="AS10" s="17">
        <v>161025</v>
      </c>
      <c r="AT10" s="17">
        <v>163850</v>
      </c>
      <c r="AU10" s="17">
        <v>166675</v>
      </c>
      <c r="AV10" s="17">
        <v>169500</v>
      </c>
      <c r="AW10" s="17">
        <v>169500</v>
      </c>
      <c r="AX10" s="17">
        <v>169500</v>
      </c>
      <c r="AY10" s="17">
        <v>169500</v>
      </c>
      <c r="AZ10" s="17">
        <v>169500</v>
      </c>
    </row>
    <row r="11" spans="1:53" x14ac:dyDescent="0.2">
      <c r="A11" s="9" t="s">
        <v>157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480000</v>
      </c>
      <c r="L11" s="16">
        <v>1200000</v>
      </c>
      <c r="M11" s="16">
        <v>1800000</v>
      </c>
      <c r="N11" s="16">
        <v>2100000</v>
      </c>
      <c r="O11" s="16">
        <v>2280000</v>
      </c>
      <c r="P11" s="16">
        <v>2400000</v>
      </c>
      <c r="Q11" s="16">
        <v>2640000</v>
      </c>
      <c r="R11" s="16">
        <v>2880000</v>
      </c>
      <c r="S11" s="16">
        <v>3120000</v>
      </c>
      <c r="T11" s="16">
        <v>3360000</v>
      </c>
      <c r="U11" s="16">
        <v>3600000</v>
      </c>
      <c r="V11" s="16">
        <v>3840000</v>
      </c>
      <c r="W11" s="16">
        <v>4020000</v>
      </c>
      <c r="X11" s="16">
        <v>4200000</v>
      </c>
      <c r="Y11" s="16">
        <v>4380000</v>
      </c>
      <c r="Z11" s="16">
        <v>4536000</v>
      </c>
      <c r="AA11" s="16">
        <v>4680000</v>
      </c>
      <c r="AB11" s="16">
        <v>4800000</v>
      </c>
      <c r="AC11" s="16">
        <v>4920000</v>
      </c>
      <c r="AD11" s="16">
        <v>5040000</v>
      </c>
      <c r="AE11" s="16">
        <v>5160000</v>
      </c>
      <c r="AF11" s="16">
        <v>5280000</v>
      </c>
      <c r="AG11" s="16">
        <v>5400000</v>
      </c>
      <c r="AH11" s="16">
        <v>5520000</v>
      </c>
      <c r="AI11" s="16">
        <v>5640000</v>
      </c>
      <c r="AJ11" s="16">
        <v>5760000</v>
      </c>
      <c r="AK11" s="16">
        <v>5880000</v>
      </c>
      <c r="AL11" s="16">
        <v>6000000</v>
      </c>
      <c r="AM11" s="16">
        <v>6120000</v>
      </c>
      <c r="AN11" s="16">
        <v>6240000</v>
      </c>
      <c r="AO11" s="16">
        <v>6360000</v>
      </c>
      <c r="AP11" s="16">
        <v>6480000</v>
      </c>
      <c r="AQ11" s="16">
        <v>6600000</v>
      </c>
      <c r="AR11" s="16">
        <v>6720000</v>
      </c>
      <c r="AS11" s="16">
        <v>6840000</v>
      </c>
      <c r="AT11" s="16">
        <v>6960000</v>
      </c>
      <c r="AU11" s="16">
        <v>7080000</v>
      </c>
      <c r="AV11" s="16">
        <v>7200000</v>
      </c>
      <c r="AW11" s="16">
        <v>7200000</v>
      </c>
      <c r="AX11" s="16">
        <v>7200000</v>
      </c>
      <c r="AY11" s="16">
        <v>7200000</v>
      </c>
      <c r="AZ11" s="16">
        <v>7200000</v>
      </c>
    </row>
    <row r="12" spans="1:53" x14ac:dyDescent="0.2">
      <c r="A12" s="18" t="s">
        <v>158</v>
      </c>
      <c r="B12" s="19">
        <v>80</v>
      </c>
      <c r="C12" s="19">
        <v>400</v>
      </c>
      <c r="D12" s="19">
        <v>800</v>
      </c>
      <c r="E12" s="19">
        <v>1159.97</v>
      </c>
      <c r="F12" s="19">
        <v>1715</v>
      </c>
      <c r="G12" s="19">
        <v>6250</v>
      </c>
      <c r="H12" s="19">
        <v>25500</v>
      </c>
      <c r="I12" s="19">
        <v>85000</v>
      </c>
      <c r="J12" s="19">
        <v>170000</v>
      </c>
      <c r="K12" s="19">
        <v>823980</v>
      </c>
      <c r="L12" s="19">
        <v>2059950</v>
      </c>
      <c r="M12" s="19">
        <v>3089925</v>
      </c>
      <c r="N12" s="19">
        <v>3654350</v>
      </c>
      <c r="O12" s="19">
        <v>3967580</v>
      </c>
      <c r="P12" s="19">
        <v>4176400</v>
      </c>
      <c r="Q12" s="19">
        <v>4594040</v>
      </c>
      <c r="R12" s="19">
        <v>5011680</v>
      </c>
      <c r="S12" s="19">
        <v>5429320</v>
      </c>
      <c r="T12" s="19">
        <v>5846960</v>
      </c>
      <c r="U12" s="19">
        <v>6264600</v>
      </c>
      <c r="V12" s="19">
        <v>6682240</v>
      </c>
      <c r="W12" s="19">
        <v>6995470</v>
      </c>
      <c r="X12" s="19">
        <v>7308700</v>
      </c>
      <c r="Y12" s="19">
        <v>7621930</v>
      </c>
      <c r="Z12" s="19">
        <v>7893396</v>
      </c>
      <c r="AA12" s="19">
        <v>8143980</v>
      </c>
      <c r="AB12" s="19">
        <v>8352800</v>
      </c>
      <c r="AC12" s="19">
        <v>8561620</v>
      </c>
      <c r="AD12" s="19">
        <v>8770440</v>
      </c>
      <c r="AE12" s="19">
        <v>8979260</v>
      </c>
      <c r="AF12" s="19">
        <v>9188080</v>
      </c>
      <c r="AG12" s="19">
        <v>9396900</v>
      </c>
      <c r="AH12" s="19">
        <v>9605720</v>
      </c>
      <c r="AI12" s="19">
        <v>9814540</v>
      </c>
      <c r="AJ12" s="19">
        <v>10023360</v>
      </c>
      <c r="AK12" s="19">
        <v>10232180</v>
      </c>
      <c r="AL12" s="19">
        <v>10441000</v>
      </c>
      <c r="AM12" s="19">
        <v>10649820</v>
      </c>
      <c r="AN12" s="19">
        <v>10858640</v>
      </c>
      <c r="AO12" s="19">
        <v>11067460</v>
      </c>
      <c r="AP12" s="19">
        <v>11276280</v>
      </c>
      <c r="AQ12" s="19">
        <v>11485100</v>
      </c>
      <c r="AR12" s="19">
        <v>11693920</v>
      </c>
      <c r="AS12" s="19">
        <v>11902740</v>
      </c>
      <c r="AT12" s="19">
        <v>12111560</v>
      </c>
      <c r="AU12" s="19">
        <v>12320380</v>
      </c>
      <c r="AV12" s="19">
        <v>12529200</v>
      </c>
      <c r="AW12" s="19">
        <v>12529200</v>
      </c>
      <c r="AX12" s="19">
        <v>12529200</v>
      </c>
      <c r="AY12" s="19">
        <v>12529200</v>
      </c>
      <c r="AZ12" s="19">
        <v>12529200</v>
      </c>
    </row>
    <row r="13" spans="1:53" x14ac:dyDescent="0.2">
      <c r="A13" s="2" t="s">
        <v>159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</row>
    <row r="14" spans="1:53" x14ac:dyDescent="0.2">
      <c r="A14" s="5" t="s">
        <v>160</v>
      </c>
      <c r="B14" s="17">
        <v>4.8</v>
      </c>
      <c r="C14" s="17">
        <v>24</v>
      </c>
      <c r="D14" s="17">
        <v>48</v>
      </c>
      <c r="E14" s="17">
        <v>69.598199999999991</v>
      </c>
      <c r="F14" s="17">
        <v>102.9</v>
      </c>
      <c r="G14" s="17">
        <v>375</v>
      </c>
      <c r="H14" s="17">
        <v>1530</v>
      </c>
      <c r="I14" s="17">
        <v>5100</v>
      </c>
      <c r="J14" s="17">
        <v>10200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</row>
    <row r="15" spans="1:53" x14ac:dyDescent="0.2">
      <c r="A15" s="18" t="s">
        <v>161</v>
      </c>
      <c r="B15" s="19">
        <v>75.2</v>
      </c>
      <c r="C15" s="19">
        <v>376</v>
      </c>
      <c r="D15" s="19">
        <v>752</v>
      </c>
      <c r="E15" s="19">
        <v>1090.3717999999999</v>
      </c>
      <c r="F15" s="19">
        <v>1612.1</v>
      </c>
      <c r="G15" s="19">
        <v>5875</v>
      </c>
      <c r="H15" s="19">
        <v>23970</v>
      </c>
      <c r="I15" s="19">
        <v>79900</v>
      </c>
      <c r="J15" s="19">
        <v>159800</v>
      </c>
      <c r="K15" s="19">
        <v>823980</v>
      </c>
      <c r="L15" s="19">
        <v>2059950</v>
      </c>
      <c r="M15" s="19">
        <v>3089925</v>
      </c>
      <c r="N15" s="19">
        <v>3654350</v>
      </c>
      <c r="O15" s="19">
        <v>3967580</v>
      </c>
      <c r="P15" s="19">
        <v>4176400</v>
      </c>
      <c r="Q15" s="19">
        <v>4594040</v>
      </c>
      <c r="R15" s="19">
        <v>5011680</v>
      </c>
      <c r="S15" s="19">
        <v>5429320</v>
      </c>
      <c r="T15" s="19">
        <v>5846960</v>
      </c>
      <c r="U15" s="19">
        <v>6264600</v>
      </c>
      <c r="V15" s="19">
        <v>6682240</v>
      </c>
      <c r="W15" s="19">
        <v>6995470</v>
      </c>
      <c r="X15" s="19">
        <v>7308700</v>
      </c>
      <c r="Y15" s="19">
        <v>7621930</v>
      </c>
      <c r="Z15" s="19">
        <v>7893396</v>
      </c>
      <c r="AA15" s="19">
        <v>8143980</v>
      </c>
      <c r="AB15" s="19">
        <v>8352800</v>
      </c>
      <c r="AC15" s="19">
        <v>8561620</v>
      </c>
      <c r="AD15" s="19">
        <v>8770440</v>
      </c>
      <c r="AE15" s="19">
        <v>8979260</v>
      </c>
      <c r="AF15" s="19">
        <v>9188080</v>
      </c>
      <c r="AG15" s="19">
        <v>9396900</v>
      </c>
      <c r="AH15" s="19">
        <v>9605720</v>
      </c>
      <c r="AI15" s="19">
        <v>9814540</v>
      </c>
      <c r="AJ15" s="19">
        <v>10023360</v>
      </c>
      <c r="AK15" s="19">
        <v>10232180</v>
      </c>
      <c r="AL15" s="19">
        <v>10441000</v>
      </c>
      <c r="AM15" s="19">
        <v>10649820</v>
      </c>
      <c r="AN15" s="19">
        <v>10858640</v>
      </c>
      <c r="AO15" s="19">
        <v>11067460</v>
      </c>
      <c r="AP15" s="19">
        <v>11276280</v>
      </c>
      <c r="AQ15" s="19">
        <v>11485100</v>
      </c>
      <c r="AR15" s="19">
        <v>11693920</v>
      </c>
      <c r="AS15" s="19">
        <v>11902740</v>
      </c>
      <c r="AT15" s="19">
        <v>12111560</v>
      </c>
      <c r="AU15" s="19">
        <v>12320380</v>
      </c>
      <c r="AV15" s="19">
        <v>12529200</v>
      </c>
      <c r="AW15" s="19">
        <v>12529200</v>
      </c>
      <c r="AX15" s="19">
        <v>12529200</v>
      </c>
      <c r="AY15" s="19">
        <v>12529200</v>
      </c>
      <c r="AZ15" s="19">
        <v>12529200</v>
      </c>
    </row>
    <row r="16" spans="1:53" x14ac:dyDescent="0.2">
      <c r="A16" s="2" t="s">
        <v>162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</row>
    <row r="17" spans="1:52" x14ac:dyDescent="0.2">
      <c r="A17" s="9" t="s">
        <v>163</v>
      </c>
      <c r="B17" s="16">
        <v>22</v>
      </c>
      <c r="C17" s="16">
        <v>110</v>
      </c>
      <c r="D17" s="16">
        <v>220</v>
      </c>
      <c r="E17" s="16">
        <v>240.9365</v>
      </c>
      <c r="F17" s="16">
        <v>321.12999999999988</v>
      </c>
      <c r="G17" s="16">
        <v>958.75</v>
      </c>
      <c r="H17" s="16">
        <v>3082.5</v>
      </c>
      <c r="I17" s="16">
        <v>10275</v>
      </c>
      <c r="J17" s="16">
        <v>20550</v>
      </c>
      <c r="K17" s="16">
        <v>320900</v>
      </c>
      <c r="L17" s="16">
        <v>802250.00000000023</v>
      </c>
      <c r="M17" s="16">
        <v>1203375</v>
      </c>
      <c r="N17" s="16">
        <v>1229407.814999999</v>
      </c>
      <c r="O17" s="16">
        <v>1334785.6299999999</v>
      </c>
      <c r="P17" s="16">
        <v>1405037.5</v>
      </c>
      <c r="Q17" s="16">
        <v>1545541.25</v>
      </c>
      <c r="R17" s="16">
        <v>1686044.9999999991</v>
      </c>
      <c r="S17" s="16">
        <v>1826548.7500000021</v>
      </c>
      <c r="T17" s="16">
        <v>1967052.5</v>
      </c>
      <c r="U17" s="16">
        <v>2107556.25</v>
      </c>
      <c r="V17" s="16">
        <v>2248060</v>
      </c>
      <c r="W17" s="16">
        <v>2353437.8150000009</v>
      </c>
      <c r="X17" s="16">
        <v>2458815.629999999</v>
      </c>
      <c r="Y17" s="16">
        <v>2564193.4349999991</v>
      </c>
      <c r="Z17" s="16">
        <v>2655520.8800000031</v>
      </c>
      <c r="AA17" s="16">
        <v>2739823.129999999</v>
      </c>
      <c r="AB17" s="16">
        <v>2810075</v>
      </c>
      <c r="AC17" s="16">
        <v>2880326.8800000031</v>
      </c>
      <c r="AD17" s="16">
        <v>2950578.75</v>
      </c>
      <c r="AE17" s="16">
        <v>3020830.6299999952</v>
      </c>
      <c r="AF17" s="16">
        <v>3091082.5</v>
      </c>
      <c r="AG17" s="16">
        <v>3161334.3799999952</v>
      </c>
      <c r="AH17" s="16">
        <v>3231586.25</v>
      </c>
      <c r="AI17" s="16">
        <v>3301838.1300000031</v>
      </c>
      <c r="AJ17" s="16">
        <v>3372090</v>
      </c>
      <c r="AK17" s="16">
        <v>3442341.8800000031</v>
      </c>
      <c r="AL17" s="16">
        <v>3512593.75</v>
      </c>
      <c r="AM17" s="16">
        <v>3582845.6300000031</v>
      </c>
      <c r="AN17" s="16">
        <v>3653097.5</v>
      </c>
      <c r="AO17" s="16">
        <v>3723349.3799999952</v>
      </c>
      <c r="AP17" s="16">
        <v>3793601.25</v>
      </c>
      <c r="AQ17" s="16">
        <v>3863853.1299999952</v>
      </c>
      <c r="AR17" s="16">
        <v>3934105</v>
      </c>
      <c r="AS17" s="16">
        <v>4004356.8800000101</v>
      </c>
      <c r="AT17" s="16">
        <v>4074608.75</v>
      </c>
      <c r="AU17" s="16">
        <v>4144860.6299999952</v>
      </c>
      <c r="AV17" s="16">
        <v>4215112.5</v>
      </c>
      <c r="AW17" s="16">
        <v>4215112.5</v>
      </c>
      <c r="AX17" s="16">
        <v>4215112.5</v>
      </c>
      <c r="AY17" s="16">
        <v>4215112.5</v>
      </c>
      <c r="AZ17" s="16">
        <v>4215112.5</v>
      </c>
    </row>
    <row r="18" spans="1:52" x14ac:dyDescent="0.2">
      <c r="A18" s="5" t="s">
        <v>164</v>
      </c>
      <c r="B18" s="17">
        <v>-8</v>
      </c>
      <c r="C18" s="17">
        <v>-40</v>
      </c>
      <c r="D18" s="17">
        <v>-80</v>
      </c>
      <c r="E18" s="17">
        <v>-115.997</v>
      </c>
      <c r="F18" s="17">
        <v>-171.5</v>
      </c>
      <c r="G18" s="17">
        <v>-625</v>
      </c>
      <c r="H18" s="17">
        <v>-2550</v>
      </c>
      <c r="I18" s="17">
        <v>-8500</v>
      </c>
      <c r="J18" s="17">
        <v>-17000</v>
      </c>
      <c r="K18" s="17">
        <v>-82398</v>
      </c>
      <c r="L18" s="17">
        <v>-205995</v>
      </c>
      <c r="M18" s="17">
        <v>-308992.5</v>
      </c>
      <c r="N18" s="17">
        <v>-365435</v>
      </c>
      <c r="O18" s="17">
        <v>-396758</v>
      </c>
      <c r="P18" s="17">
        <v>-417640</v>
      </c>
      <c r="Q18" s="17">
        <v>-459404</v>
      </c>
      <c r="R18" s="17">
        <v>-501168</v>
      </c>
      <c r="S18" s="17">
        <v>-542932</v>
      </c>
      <c r="T18" s="17">
        <v>-584696</v>
      </c>
      <c r="U18" s="17">
        <v>-626460</v>
      </c>
      <c r="V18" s="17">
        <v>-668224</v>
      </c>
      <c r="W18" s="17">
        <v>-699547</v>
      </c>
      <c r="X18" s="17">
        <v>-730870</v>
      </c>
      <c r="Y18" s="17">
        <v>-762193</v>
      </c>
      <c r="Z18" s="17">
        <v>-789339.60000000009</v>
      </c>
      <c r="AA18" s="17">
        <v>-814398</v>
      </c>
      <c r="AB18" s="17">
        <v>-835280</v>
      </c>
      <c r="AC18" s="17">
        <v>-856162</v>
      </c>
      <c r="AD18" s="17">
        <v>-877044</v>
      </c>
      <c r="AE18" s="17">
        <v>-897926</v>
      </c>
      <c r="AF18" s="17">
        <v>-918808</v>
      </c>
      <c r="AG18" s="17">
        <v>-939690</v>
      </c>
      <c r="AH18" s="17">
        <v>-960572</v>
      </c>
      <c r="AI18" s="17">
        <v>-981454</v>
      </c>
      <c r="AJ18" s="17">
        <v>-1002336</v>
      </c>
      <c r="AK18" s="17">
        <v>-1023218</v>
      </c>
      <c r="AL18" s="17">
        <v>-1044100</v>
      </c>
      <c r="AM18" s="17">
        <v>-1064982</v>
      </c>
      <c r="AN18" s="17">
        <v>-1085864</v>
      </c>
      <c r="AO18" s="17">
        <v>-1106746</v>
      </c>
      <c r="AP18" s="17">
        <v>-1127628</v>
      </c>
      <c r="AQ18" s="17">
        <v>-1148510</v>
      </c>
      <c r="AR18" s="17">
        <v>-1169392</v>
      </c>
      <c r="AS18" s="17">
        <v>-1190274</v>
      </c>
      <c r="AT18" s="17">
        <v>-1211156</v>
      </c>
      <c r="AU18" s="17">
        <v>-1232038</v>
      </c>
      <c r="AV18" s="17">
        <v>-1252920</v>
      </c>
      <c r="AW18" s="17">
        <v>-1252920</v>
      </c>
      <c r="AX18" s="17">
        <v>-1252920</v>
      </c>
      <c r="AY18" s="17">
        <v>-1252920</v>
      </c>
      <c r="AZ18" s="17">
        <v>-1252920</v>
      </c>
    </row>
    <row r="19" spans="1:52" x14ac:dyDescent="0.2">
      <c r="A19" s="9" t="s">
        <v>165</v>
      </c>
      <c r="B19" s="16">
        <v>0</v>
      </c>
      <c r="C19" s="16">
        <v>0</v>
      </c>
      <c r="D19" s="16">
        <v>0</v>
      </c>
      <c r="E19" s="16">
        <v>55.98599999999999</v>
      </c>
      <c r="F19" s="16">
        <v>73.499999999999986</v>
      </c>
      <c r="G19" s="16">
        <v>209.99999999999989</v>
      </c>
      <c r="H19" s="16">
        <v>630</v>
      </c>
      <c r="I19" s="16">
        <v>2100</v>
      </c>
      <c r="J19" s="16">
        <v>4199.9999999999991</v>
      </c>
      <c r="K19" s="16">
        <v>8399.9999999999982</v>
      </c>
      <c r="L19" s="16">
        <v>21000</v>
      </c>
      <c r="M19" s="16">
        <v>31499.999999999989</v>
      </c>
      <c r="N19" s="16">
        <v>224875</v>
      </c>
      <c r="O19" s="16">
        <v>244150</v>
      </c>
      <c r="P19" s="16">
        <v>257000</v>
      </c>
      <c r="Q19" s="16">
        <v>282699.99999999988</v>
      </c>
      <c r="R19" s="16">
        <v>308399.99999999988</v>
      </c>
      <c r="S19" s="16">
        <v>334099.99999999988</v>
      </c>
      <c r="T19" s="16">
        <v>359799.99999999988</v>
      </c>
      <c r="U19" s="16">
        <v>385499.99999999988</v>
      </c>
      <c r="V19" s="16">
        <v>411199.99999999988</v>
      </c>
      <c r="W19" s="16">
        <v>430474.99999999988</v>
      </c>
      <c r="X19" s="16">
        <v>449750</v>
      </c>
      <c r="Y19" s="16">
        <v>469025</v>
      </c>
      <c r="Z19" s="16">
        <v>485730</v>
      </c>
      <c r="AA19" s="16">
        <v>501150</v>
      </c>
      <c r="AB19" s="16">
        <v>514000</v>
      </c>
      <c r="AC19" s="16">
        <v>526850</v>
      </c>
      <c r="AD19" s="16">
        <v>539700</v>
      </c>
      <c r="AE19" s="16">
        <v>552550</v>
      </c>
      <c r="AF19" s="16">
        <v>565399.99999999988</v>
      </c>
      <c r="AG19" s="16">
        <v>578249.99999999988</v>
      </c>
      <c r="AH19" s="16">
        <v>591099.99999999988</v>
      </c>
      <c r="AI19" s="16">
        <v>603949.99999999988</v>
      </c>
      <c r="AJ19" s="16">
        <v>616799.99999999988</v>
      </c>
      <c r="AK19" s="16">
        <v>629650</v>
      </c>
      <c r="AL19" s="16">
        <v>642499.99999999988</v>
      </c>
      <c r="AM19" s="16">
        <v>655349.99999999988</v>
      </c>
      <c r="AN19" s="16">
        <v>668199.99999999988</v>
      </c>
      <c r="AO19" s="16">
        <v>681049.99999999988</v>
      </c>
      <c r="AP19" s="16">
        <v>693899.99999999988</v>
      </c>
      <c r="AQ19" s="16">
        <v>706749.99999999988</v>
      </c>
      <c r="AR19" s="16">
        <v>719599.99999999988</v>
      </c>
      <c r="AS19" s="16">
        <v>732449.99999999988</v>
      </c>
      <c r="AT19" s="16">
        <v>745299.99999999988</v>
      </c>
      <c r="AU19" s="16">
        <v>758149.99999999988</v>
      </c>
      <c r="AV19" s="16">
        <v>770999.99999999988</v>
      </c>
      <c r="AW19" s="16">
        <v>770999.99999999988</v>
      </c>
      <c r="AX19" s="16">
        <v>770999.99999999988</v>
      </c>
      <c r="AY19" s="16">
        <v>770999.99999999988</v>
      </c>
      <c r="AZ19" s="16">
        <v>770999.99999999988</v>
      </c>
    </row>
    <row r="20" spans="1:52" x14ac:dyDescent="0.2">
      <c r="A20" s="18" t="s">
        <v>166</v>
      </c>
      <c r="B20" s="19">
        <v>45.2</v>
      </c>
      <c r="C20" s="19">
        <v>226</v>
      </c>
      <c r="D20" s="19">
        <v>452</v>
      </c>
      <c r="E20" s="19">
        <v>789.42430000000002</v>
      </c>
      <c r="F20" s="19">
        <v>1192.97</v>
      </c>
      <c r="G20" s="19">
        <v>4501.25</v>
      </c>
      <c r="H20" s="19">
        <v>18967.5</v>
      </c>
      <c r="I20" s="19">
        <v>63225</v>
      </c>
      <c r="J20" s="19">
        <v>126450</v>
      </c>
      <c r="K20" s="19">
        <v>429082</v>
      </c>
      <c r="L20" s="19">
        <v>1072705</v>
      </c>
      <c r="M20" s="19">
        <v>1609057.5</v>
      </c>
      <c r="N20" s="19">
        <v>2284382.185000001</v>
      </c>
      <c r="O20" s="19">
        <v>2480186.37</v>
      </c>
      <c r="P20" s="19">
        <v>2610722.5</v>
      </c>
      <c r="Q20" s="19">
        <v>2871794.75</v>
      </c>
      <c r="R20" s="19">
        <v>3132867.0000000009</v>
      </c>
      <c r="S20" s="19">
        <v>3393939.2499999981</v>
      </c>
      <c r="T20" s="19">
        <v>3655011.5</v>
      </c>
      <c r="U20" s="19">
        <v>3916083.75</v>
      </c>
      <c r="V20" s="19">
        <v>4177156</v>
      </c>
      <c r="W20" s="19">
        <v>4372960.1849999987</v>
      </c>
      <c r="X20" s="19">
        <v>4568764.370000001</v>
      </c>
      <c r="Y20" s="19">
        <v>4764568.5650000013</v>
      </c>
      <c r="Z20" s="19">
        <v>4934265.5199999977</v>
      </c>
      <c r="AA20" s="19">
        <v>5090908.870000001</v>
      </c>
      <c r="AB20" s="19">
        <v>5221445</v>
      </c>
      <c r="AC20" s="19">
        <v>5351981.1199999973</v>
      </c>
      <c r="AD20" s="19">
        <v>5482517.25</v>
      </c>
      <c r="AE20" s="19">
        <v>5613053.3700000048</v>
      </c>
      <c r="AF20" s="19">
        <v>5743589.5</v>
      </c>
      <c r="AG20" s="19">
        <v>5874125.6200000048</v>
      </c>
      <c r="AH20" s="19">
        <v>6004661.75</v>
      </c>
      <c r="AI20" s="19">
        <v>6135197.8699999973</v>
      </c>
      <c r="AJ20" s="19">
        <v>6265734</v>
      </c>
      <c r="AK20" s="19">
        <v>6396270.1199999973</v>
      </c>
      <c r="AL20" s="19">
        <v>6526806.25</v>
      </c>
      <c r="AM20" s="19">
        <v>6657342.3699999973</v>
      </c>
      <c r="AN20" s="19">
        <v>6787878.5</v>
      </c>
      <c r="AO20" s="19">
        <v>6918414.6200000048</v>
      </c>
      <c r="AP20" s="19">
        <v>7048950.75</v>
      </c>
      <c r="AQ20" s="19">
        <v>7179486.8700000048</v>
      </c>
      <c r="AR20" s="19">
        <v>7310023</v>
      </c>
      <c r="AS20" s="19">
        <v>7440559.1199999899</v>
      </c>
      <c r="AT20" s="19">
        <v>7571095.25</v>
      </c>
      <c r="AU20" s="19">
        <v>7701631.3700000048</v>
      </c>
      <c r="AV20" s="19">
        <v>7832167.5</v>
      </c>
      <c r="AW20" s="19">
        <v>7832167.5</v>
      </c>
      <c r="AX20" s="19">
        <v>7832167.5</v>
      </c>
      <c r="AY20" s="19">
        <v>7832167.5</v>
      </c>
      <c r="AZ20" s="19">
        <v>7832167.5</v>
      </c>
    </row>
    <row r="21" spans="1:52" x14ac:dyDescent="0.2">
      <c r="A21" s="2" t="s">
        <v>167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</row>
    <row r="22" spans="1:52" x14ac:dyDescent="0.2">
      <c r="A22" s="5" t="s">
        <v>168</v>
      </c>
      <c r="B22" s="17">
        <v>0</v>
      </c>
      <c r="C22" s="17">
        <v>0</v>
      </c>
      <c r="D22" s="17">
        <v>0</v>
      </c>
      <c r="E22" s="17">
        <v>-50000</v>
      </c>
      <c r="F22" s="17">
        <v>-50000</v>
      </c>
      <c r="G22" s="17">
        <v>-50000</v>
      </c>
      <c r="H22" s="17">
        <v>-50000</v>
      </c>
      <c r="I22" s="17">
        <v>-50000</v>
      </c>
      <c r="J22" s="17">
        <v>-50000</v>
      </c>
      <c r="K22" s="17">
        <v>-150000</v>
      </c>
      <c r="L22" s="17">
        <v>-150000</v>
      </c>
      <c r="M22" s="17">
        <v>-150000</v>
      </c>
      <c r="N22" s="17">
        <v>-150000</v>
      </c>
      <c r="O22" s="17">
        <v>-150000</v>
      </c>
      <c r="P22" s="17">
        <v>-150000</v>
      </c>
      <c r="Q22" s="17">
        <v>-165000</v>
      </c>
      <c r="R22" s="17">
        <v>-165000</v>
      </c>
      <c r="S22" s="17">
        <v>-165000</v>
      </c>
      <c r="T22" s="17">
        <v>-165000</v>
      </c>
      <c r="U22" s="17">
        <v>-165000</v>
      </c>
      <c r="V22" s="17">
        <v>-165000</v>
      </c>
      <c r="W22" s="17">
        <v>-165000</v>
      </c>
      <c r="X22" s="17">
        <v>-165000</v>
      </c>
      <c r="Y22" s="17">
        <v>-165000</v>
      </c>
      <c r="Z22" s="17">
        <v>-165000</v>
      </c>
      <c r="AA22" s="17">
        <v>-165000</v>
      </c>
      <c r="AB22" s="17">
        <v>-165000</v>
      </c>
      <c r="AC22" s="17">
        <v>-181500</v>
      </c>
      <c r="AD22" s="17">
        <v>-181500</v>
      </c>
      <c r="AE22" s="17">
        <v>-181500</v>
      </c>
      <c r="AF22" s="17">
        <v>-181500</v>
      </c>
      <c r="AG22" s="17">
        <v>-181500</v>
      </c>
      <c r="AH22" s="17">
        <v>-181500</v>
      </c>
      <c r="AI22" s="17">
        <v>-181500</v>
      </c>
      <c r="AJ22" s="17">
        <v>-181500</v>
      </c>
      <c r="AK22" s="17">
        <v>-181500</v>
      </c>
      <c r="AL22" s="17">
        <v>-181500</v>
      </c>
      <c r="AM22" s="17">
        <v>-181500</v>
      </c>
      <c r="AN22" s="17">
        <v>-181500</v>
      </c>
      <c r="AO22" s="17">
        <v>-199650</v>
      </c>
      <c r="AP22" s="17">
        <v>-199650</v>
      </c>
      <c r="AQ22" s="17">
        <v>-199650</v>
      </c>
      <c r="AR22" s="17">
        <v>-199650</v>
      </c>
      <c r="AS22" s="17">
        <v>-199650</v>
      </c>
      <c r="AT22" s="17">
        <v>-199650</v>
      </c>
      <c r="AU22" s="17">
        <v>-199650</v>
      </c>
      <c r="AV22" s="17">
        <v>-199650</v>
      </c>
      <c r="AW22" s="17">
        <v>-199650</v>
      </c>
      <c r="AX22" s="17">
        <v>-199650</v>
      </c>
      <c r="AY22" s="17">
        <v>-199650</v>
      </c>
      <c r="AZ22" s="17">
        <v>-199650</v>
      </c>
    </row>
    <row r="23" spans="1:52" x14ac:dyDescent="0.2">
      <c r="A23" s="9" t="s">
        <v>169</v>
      </c>
      <c r="B23" s="16">
        <v>-71.72</v>
      </c>
      <c r="C23" s="16">
        <v>-251</v>
      </c>
      <c r="D23" s="16">
        <v>-605.18999999999994</v>
      </c>
      <c r="E23" s="16">
        <v>-885.06999999999994</v>
      </c>
      <c r="F23" s="16">
        <v>-1105.78</v>
      </c>
      <c r="G23" s="16">
        <v>-1295.19</v>
      </c>
      <c r="H23" s="16">
        <v>-1381.83</v>
      </c>
      <c r="I23" s="16">
        <v>-1464.28</v>
      </c>
      <c r="J23" s="16">
        <v>-1543.1</v>
      </c>
      <c r="K23" s="16">
        <v>-1618.79</v>
      </c>
      <c r="L23" s="16">
        <v>-1762.1</v>
      </c>
      <c r="M23" s="16">
        <v>-1896.53</v>
      </c>
      <c r="N23" s="16">
        <v>-2023.65</v>
      </c>
      <c r="O23" s="16">
        <v>-2144.58</v>
      </c>
      <c r="P23" s="16">
        <v>-2177.21</v>
      </c>
      <c r="Q23" s="16">
        <v>-2209.44</v>
      </c>
      <c r="R23" s="16">
        <v>-2241.2600000000002</v>
      </c>
      <c r="S23" s="16">
        <v>-2272.75</v>
      </c>
      <c r="T23" s="16">
        <v>-2303.9</v>
      </c>
      <c r="U23" s="16">
        <v>-2334.6799999999998</v>
      </c>
      <c r="V23" s="16">
        <v>-2365.17</v>
      </c>
      <c r="W23" s="16">
        <v>-2395.31</v>
      </c>
      <c r="X23" s="16">
        <v>-2425.1999999999998</v>
      </c>
      <c r="Y23" s="16">
        <v>-2454.7600000000002</v>
      </c>
      <c r="Z23" s="16">
        <v>-2484.02</v>
      </c>
      <c r="AA23" s="16">
        <v>-2513.02</v>
      </c>
      <c r="AB23" s="16">
        <v>-2541.7399999999998</v>
      </c>
      <c r="AC23" s="16">
        <v>-2570.2199999999998</v>
      </c>
      <c r="AD23" s="16">
        <v>-2598.4499999999998</v>
      </c>
      <c r="AE23" s="16">
        <v>-2626.41</v>
      </c>
      <c r="AF23" s="16">
        <v>-2654.14</v>
      </c>
      <c r="AG23" s="16">
        <v>-2681.66</v>
      </c>
      <c r="AH23" s="16">
        <v>-2708.92</v>
      </c>
      <c r="AI23" s="16">
        <v>-2735.96</v>
      </c>
      <c r="AJ23" s="16">
        <v>-2762.81</v>
      </c>
      <c r="AK23" s="16">
        <v>-2789.4299999999989</v>
      </c>
      <c r="AL23" s="16">
        <v>-2815.86</v>
      </c>
      <c r="AM23" s="16">
        <v>-2842.08</v>
      </c>
      <c r="AN23" s="16">
        <v>-2868.11</v>
      </c>
      <c r="AO23" s="16">
        <v>-2893.96</v>
      </c>
      <c r="AP23" s="16">
        <v>-2919.61</v>
      </c>
      <c r="AQ23" s="16">
        <v>-2945.1</v>
      </c>
      <c r="AR23" s="16">
        <v>-2970.38</v>
      </c>
      <c r="AS23" s="16">
        <v>-2995.52</v>
      </c>
      <c r="AT23" s="16">
        <v>-3020.46</v>
      </c>
      <c r="AU23" s="16">
        <v>-3045.27</v>
      </c>
      <c r="AV23" s="16">
        <v>-3069.88</v>
      </c>
      <c r="AW23" s="16">
        <v>-3094.37</v>
      </c>
      <c r="AX23" s="16">
        <v>-3118.66</v>
      </c>
      <c r="AY23" s="16">
        <v>-3142.84</v>
      </c>
      <c r="AZ23" s="16">
        <v>-114637.37</v>
      </c>
    </row>
    <row r="24" spans="1:52" x14ac:dyDescent="0.2">
      <c r="A24" s="5" t="s">
        <v>170</v>
      </c>
      <c r="B24" s="17">
        <v>-111.51</v>
      </c>
      <c r="C24" s="17">
        <v>-595.6</v>
      </c>
      <c r="D24" s="17">
        <v>-1925.93</v>
      </c>
      <c r="E24" s="17">
        <v>-3194.47</v>
      </c>
      <c r="F24" s="17">
        <v>-4295.5599999999986</v>
      </c>
      <c r="G24" s="17">
        <v>-5300.34</v>
      </c>
      <c r="H24" s="17">
        <v>-5776.77</v>
      </c>
      <c r="I24" s="17">
        <v>-6239.16</v>
      </c>
      <c r="J24" s="17">
        <v>-6689.3</v>
      </c>
      <c r="K24" s="17">
        <v>-7128.58</v>
      </c>
      <c r="L24" s="17">
        <v>-7978.92</v>
      </c>
      <c r="M24" s="17">
        <v>-8797.19</v>
      </c>
      <c r="N24" s="17">
        <v>-9588.43</v>
      </c>
      <c r="O24" s="17">
        <v>-10356.41</v>
      </c>
      <c r="P24" s="17">
        <v>-10566.03</v>
      </c>
      <c r="Q24" s="17">
        <v>-10774.13</v>
      </c>
      <c r="R24" s="17">
        <v>-10980.76</v>
      </c>
      <c r="S24" s="17">
        <v>-11186</v>
      </c>
      <c r="T24" s="17">
        <v>-11389.83</v>
      </c>
      <c r="U24" s="17">
        <v>-11592.36</v>
      </c>
      <c r="V24" s="17">
        <v>-11793.6</v>
      </c>
      <c r="W24" s="17">
        <v>-11993.58</v>
      </c>
      <c r="X24" s="17">
        <v>-12192.38</v>
      </c>
      <c r="Y24" s="17">
        <v>-12389.97</v>
      </c>
      <c r="Z24" s="17">
        <v>-12586.42</v>
      </c>
      <c r="AA24" s="17">
        <v>-12781.77</v>
      </c>
      <c r="AB24" s="17">
        <v>-12976.01</v>
      </c>
      <c r="AC24" s="17">
        <v>-13169.19</v>
      </c>
      <c r="AD24" s="17">
        <v>-13361.35</v>
      </c>
      <c r="AE24" s="17">
        <v>-13552.49</v>
      </c>
      <c r="AF24" s="17">
        <v>-13742.68</v>
      </c>
      <c r="AG24" s="17">
        <v>-13931.89</v>
      </c>
      <c r="AH24" s="17">
        <v>-14120.16</v>
      </c>
      <c r="AI24" s="17">
        <v>-14307.54</v>
      </c>
      <c r="AJ24" s="17">
        <v>-14494.01</v>
      </c>
      <c r="AK24" s="17">
        <v>-14679.6</v>
      </c>
      <c r="AL24" s="17">
        <v>-14864.34</v>
      </c>
      <c r="AM24" s="17">
        <v>-15048.25</v>
      </c>
      <c r="AN24" s="17">
        <v>-15231.34</v>
      </c>
      <c r="AO24" s="17">
        <v>-15413.64</v>
      </c>
      <c r="AP24" s="17">
        <v>-15595.13</v>
      </c>
      <c r="AQ24" s="17">
        <v>-15775.87</v>
      </c>
      <c r="AR24" s="17">
        <v>-15955.86</v>
      </c>
      <c r="AS24" s="17">
        <v>-16135.1</v>
      </c>
      <c r="AT24" s="17">
        <v>-16313.6</v>
      </c>
      <c r="AU24" s="17">
        <v>-16491.400000000001</v>
      </c>
      <c r="AV24" s="17">
        <v>-16668.509999999998</v>
      </c>
      <c r="AW24" s="17">
        <v>-16844.93</v>
      </c>
      <c r="AX24" s="17">
        <v>-17020.68</v>
      </c>
      <c r="AY24" s="17">
        <v>-17195.77</v>
      </c>
      <c r="AZ24" s="17">
        <v>-581094.34000000008</v>
      </c>
    </row>
    <row r="25" spans="1:52" x14ac:dyDescent="0.2">
      <c r="A25" s="9" t="s">
        <v>171</v>
      </c>
      <c r="B25" s="16">
        <v>-84.910000000000011</v>
      </c>
      <c r="C25" s="16">
        <v>-471.92</v>
      </c>
      <c r="D25" s="16">
        <v>-1565.4</v>
      </c>
      <c r="E25" s="16">
        <v>-2623.76</v>
      </c>
      <c r="F25" s="16">
        <v>-3549.26</v>
      </c>
      <c r="G25" s="16">
        <v>-4397.82</v>
      </c>
      <c r="H25" s="16">
        <v>-4801.26</v>
      </c>
      <c r="I25" s="16">
        <v>-5193.4199999999992</v>
      </c>
      <c r="J25" s="16">
        <v>-5575.71</v>
      </c>
      <c r="K25" s="16">
        <v>-5949.2100000000009</v>
      </c>
      <c r="L25" s="16">
        <v>-6673.44</v>
      </c>
      <c r="M25" s="16">
        <v>-7371.66</v>
      </c>
      <c r="N25" s="16">
        <v>-8047.96</v>
      </c>
      <c r="O25" s="16">
        <v>-8705.34</v>
      </c>
      <c r="P25" s="16">
        <v>-8884.93</v>
      </c>
      <c r="Q25" s="16">
        <v>-9063.2800000000007</v>
      </c>
      <c r="R25" s="16">
        <v>-9240.4399999999987</v>
      </c>
      <c r="S25" s="16">
        <v>-9416.4399999999987</v>
      </c>
      <c r="T25" s="16">
        <v>-9591.32</v>
      </c>
      <c r="U25" s="16">
        <v>-9765.1200000000008</v>
      </c>
      <c r="V25" s="16">
        <v>-9937.880000000001</v>
      </c>
      <c r="W25" s="16">
        <v>-10109.6</v>
      </c>
      <c r="X25" s="16">
        <v>-10280.35</v>
      </c>
      <c r="Y25" s="16">
        <v>-10450.129999999999</v>
      </c>
      <c r="Z25" s="16">
        <v>-10618.97</v>
      </c>
      <c r="AA25" s="16">
        <v>-10786.89</v>
      </c>
      <c r="AB25" s="16">
        <v>-10953.94</v>
      </c>
      <c r="AC25" s="16">
        <v>-11120.11</v>
      </c>
      <c r="AD25" s="16">
        <v>-11285.43</v>
      </c>
      <c r="AE25" s="16">
        <v>-11449.94</v>
      </c>
      <c r="AF25" s="16">
        <v>-11613.64</v>
      </c>
      <c r="AG25" s="16">
        <v>-11776.55</v>
      </c>
      <c r="AH25" s="16">
        <v>-11938.71</v>
      </c>
      <c r="AI25" s="16">
        <v>-12100.12</v>
      </c>
      <c r="AJ25" s="16">
        <v>-12260.79</v>
      </c>
      <c r="AK25" s="16">
        <v>-12420.75</v>
      </c>
      <c r="AL25" s="16">
        <v>-12579.99</v>
      </c>
      <c r="AM25" s="16">
        <v>-12738.56</v>
      </c>
      <c r="AN25" s="16">
        <v>-12896.45</v>
      </c>
      <c r="AO25" s="16">
        <v>-13053.69</v>
      </c>
      <c r="AP25" s="16">
        <v>-13210.28</v>
      </c>
      <c r="AQ25" s="16">
        <v>-13366.25</v>
      </c>
      <c r="AR25" s="16">
        <v>-13521.59</v>
      </c>
      <c r="AS25" s="16">
        <v>-13676.33</v>
      </c>
      <c r="AT25" s="16">
        <v>-13830.47</v>
      </c>
      <c r="AU25" s="16">
        <v>-13984.01</v>
      </c>
      <c r="AV25" s="16">
        <v>-14136.99</v>
      </c>
      <c r="AW25" s="16">
        <v>-14289.4</v>
      </c>
      <c r="AX25" s="16">
        <v>-14441.27</v>
      </c>
      <c r="AY25" s="16">
        <v>-14592.59</v>
      </c>
      <c r="AZ25" s="16">
        <v>-490394.27000000008</v>
      </c>
    </row>
    <row r="26" spans="1:52" x14ac:dyDescent="0.2">
      <c r="A26" s="5" t="s">
        <v>172</v>
      </c>
      <c r="B26" s="17">
        <v>-21.09</v>
      </c>
      <c r="C26" s="17">
        <v>-130</v>
      </c>
      <c r="D26" s="17">
        <v>-463.66</v>
      </c>
      <c r="E26" s="17">
        <v>-801.86</v>
      </c>
      <c r="F26" s="17">
        <v>-1104.78</v>
      </c>
      <c r="G26" s="17">
        <v>-1386.84</v>
      </c>
      <c r="H26" s="17">
        <v>-1522.14</v>
      </c>
      <c r="I26" s="17">
        <v>-1654.34</v>
      </c>
      <c r="J26" s="17">
        <v>-1783.78</v>
      </c>
      <c r="K26" s="17">
        <v>-1910.79</v>
      </c>
      <c r="L26" s="17">
        <v>-2158.4</v>
      </c>
      <c r="M26" s="17">
        <v>-2398.69</v>
      </c>
      <c r="N26" s="17">
        <v>-2632.76</v>
      </c>
      <c r="O26" s="17">
        <v>-2861.44</v>
      </c>
      <c r="P26" s="17">
        <v>-2924.09</v>
      </c>
      <c r="Q26" s="17">
        <v>-2986.39</v>
      </c>
      <c r="R26" s="17">
        <v>-3048.35</v>
      </c>
      <c r="S26" s="17">
        <v>-3109.98</v>
      </c>
      <c r="T26" s="17">
        <v>-3171.28</v>
      </c>
      <c r="U26" s="17">
        <v>-3232.26</v>
      </c>
      <c r="V26" s="17">
        <v>-3292.96</v>
      </c>
      <c r="W26" s="17">
        <v>-3353.35</v>
      </c>
      <c r="X26" s="17">
        <v>-3413.46</v>
      </c>
      <c r="Y26" s="17">
        <v>-3473.3</v>
      </c>
      <c r="Z26" s="17">
        <v>-3532.86</v>
      </c>
      <c r="AA26" s="17">
        <v>-3592.150000000001</v>
      </c>
      <c r="AB26" s="17">
        <v>-3651.19</v>
      </c>
      <c r="AC26" s="17">
        <v>-3709.96</v>
      </c>
      <c r="AD26" s="17">
        <v>-3768.49</v>
      </c>
      <c r="AE26" s="17">
        <v>-3826.8</v>
      </c>
      <c r="AF26" s="17">
        <v>-3884.87</v>
      </c>
      <c r="AG26" s="17">
        <v>-3942.7</v>
      </c>
      <c r="AH26" s="17">
        <v>-4000.32</v>
      </c>
      <c r="AI26" s="17">
        <v>-4057.71</v>
      </c>
      <c r="AJ26" s="17">
        <v>-4114.8900000000003</v>
      </c>
      <c r="AK26" s="17">
        <v>-4171.8500000000004</v>
      </c>
      <c r="AL26" s="17">
        <v>-4228.62</v>
      </c>
      <c r="AM26" s="17">
        <v>-4285.18</v>
      </c>
      <c r="AN26" s="17">
        <v>-4341.55</v>
      </c>
      <c r="AO26" s="17">
        <v>-4397.7299999999996</v>
      </c>
      <c r="AP26" s="17">
        <v>-4453.7</v>
      </c>
      <c r="AQ26" s="17">
        <v>-4509.51</v>
      </c>
      <c r="AR26" s="17">
        <v>-4565.12</v>
      </c>
      <c r="AS26" s="17">
        <v>-4620.5600000000004</v>
      </c>
      <c r="AT26" s="17">
        <v>-4675.82</v>
      </c>
      <c r="AU26" s="17">
        <v>-4730.91</v>
      </c>
      <c r="AV26" s="17">
        <v>-4785.83</v>
      </c>
      <c r="AW26" s="17">
        <v>-4840.59</v>
      </c>
      <c r="AX26" s="17">
        <v>-4895.1899999999996</v>
      </c>
      <c r="AY26" s="17">
        <v>-4949.6099999999997</v>
      </c>
      <c r="AZ26" s="17">
        <v>-163369.70000000001</v>
      </c>
    </row>
    <row r="27" spans="1:52" x14ac:dyDescent="0.2">
      <c r="A27" s="9" t="s">
        <v>173</v>
      </c>
      <c r="B27" s="16">
        <v>-22.34</v>
      </c>
      <c r="C27" s="16">
        <v>-125</v>
      </c>
      <c r="D27" s="16">
        <v>-416.67</v>
      </c>
      <c r="E27" s="16">
        <v>-699.88000000000011</v>
      </c>
      <c r="F27" s="16">
        <v>-947.94</v>
      </c>
      <c r="G27" s="16">
        <v>-1175.6199999999999</v>
      </c>
      <c r="H27" s="16">
        <v>-1283.94</v>
      </c>
      <c r="I27" s="16">
        <v>-1389.26</v>
      </c>
      <c r="J27" s="16">
        <v>-1491.97</v>
      </c>
      <c r="K27" s="16">
        <v>-1592.35</v>
      </c>
      <c r="L27" s="16">
        <v>-1787.05</v>
      </c>
      <c r="M27" s="16">
        <v>-1974.86</v>
      </c>
      <c r="N27" s="16">
        <v>-2156.84</v>
      </c>
      <c r="O27" s="16">
        <v>-2333.7800000000002</v>
      </c>
      <c r="P27" s="16">
        <v>-2382.13</v>
      </c>
      <c r="Q27" s="16">
        <v>-2430.15</v>
      </c>
      <c r="R27" s="16">
        <v>-2477.86</v>
      </c>
      <c r="S27" s="16">
        <v>-2525.25</v>
      </c>
      <c r="T27" s="16">
        <v>-2572.35</v>
      </c>
      <c r="U27" s="16">
        <v>-2619.16</v>
      </c>
      <c r="V27" s="16">
        <v>-2665.69</v>
      </c>
      <c r="W27" s="16">
        <v>-2711.95</v>
      </c>
      <c r="X27" s="16">
        <v>-2757.95</v>
      </c>
      <c r="Y27" s="16">
        <v>-2803.69</v>
      </c>
      <c r="Z27" s="16">
        <v>-2849.19</v>
      </c>
      <c r="AA27" s="16">
        <v>-2894.43</v>
      </c>
      <c r="AB27" s="16">
        <v>-2939.45</v>
      </c>
      <c r="AC27" s="16">
        <v>-2984.22</v>
      </c>
      <c r="AD27" s="16">
        <v>-3028.78</v>
      </c>
      <c r="AE27" s="16">
        <v>-3073.12</v>
      </c>
      <c r="AF27" s="16">
        <v>-3117.25</v>
      </c>
      <c r="AG27" s="16">
        <v>-3161.17</v>
      </c>
      <c r="AH27" s="16">
        <v>-3204.87</v>
      </c>
      <c r="AI27" s="16">
        <v>-3248.38</v>
      </c>
      <c r="AJ27" s="16">
        <v>-3291.71</v>
      </c>
      <c r="AK27" s="16">
        <v>-3334.83</v>
      </c>
      <c r="AL27" s="16">
        <v>-3377.76</v>
      </c>
      <c r="AM27" s="16">
        <v>-3420.53</v>
      </c>
      <c r="AN27" s="16">
        <v>-3463.1</v>
      </c>
      <c r="AO27" s="16">
        <v>-3505.51</v>
      </c>
      <c r="AP27" s="16">
        <v>-3547.74</v>
      </c>
      <c r="AQ27" s="16">
        <v>-3589.8</v>
      </c>
      <c r="AR27" s="16">
        <v>-3631.69</v>
      </c>
      <c r="AS27" s="16">
        <v>-3673.43</v>
      </c>
      <c r="AT27" s="16">
        <v>-3715.01</v>
      </c>
      <c r="AU27" s="16">
        <v>-3756.43</v>
      </c>
      <c r="AV27" s="16">
        <v>-3797.7</v>
      </c>
      <c r="AW27" s="16">
        <v>-3838.82</v>
      </c>
      <c r="AX27" s="16">
        <v>-3879.79</v>
      </c>
      <c r="AY27" s="16">
        <v>-3920.62</v>
      </c>
      <c r="AZ27" s="16">
        <v>-131589.01</v>
      </c>
    </row>
    <row r="28" spans="1:52" x14ac:dyDescent="0.2">
      <c r="A28" s="5" t="s">
        <v>174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</row>
    <row r="29" spans="1:52" x14ac:dyDescent="0.2">
      <c r="A29" s="2" t="s">
        <v>175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</row>
    <row r="30" spans="1:52" x14ac:dyDescent="0.2">
      <c r="A30" s="18" t="s">
        <v>176</v>
      </c>
      <c r="B30" s="19">
        <v>-266.37</v>
      </c>
      <c r="C30" s="19">
        <v>-1347.52</v>
      </c>
      <c r="D30" s="19">
        <v>-4524.8499999999995</v>
      </c>
      <c r="E30" s="19">
        <v>-57415.615700000002</v>
      </c>
      <c r="F30" s="19">
        <v>-59810.35</v>
      </c>
      <c r="G30" s="19">
        <v>-59054.559999999998</v>
      </c>
      <c r="H30" s="19">
        <v>-49232.22</v>
      </c>
      <c r="I30" s="19">
        <v>-7134.91</v>
      </c>
      <c r="J30" s="19">
        <v>54011.07</v>
      </c>
      <c r="K30" s="19">
        <v>254632.36</v>
      </c>
      <c r="L30" s="19">
        <v>896303.44999999972</v>
      </c>
      <c r="M30" s="19">
        <v>1432123.11</v>
      </c>
      <c r="N30" s="19">
        <v>2106918.7949999999</v>
      </c>
      <c r="O30" s="19">
        <v>2302197.7000000002</v>
      </c>
      <c r="P30" s="19">
        <v>2432212.08</v>
      </c>
      <c r="Q30" s="19">
        <v>2677766.0699999998</v>
      </c>
      <c r="R30" s="19">
        <v>2938323.4200000009</v>
      </c>
      <c r="S30" s="19">
        <v>3198883.9499999979</v>
      </c>
      <c r="T30" s="19">
        <v>3459447.71</v>
      </c>
      <c r="U30" s="19">
        <v>3720014.41</v>
      </c>
      <c r="V30" s="19">
        <v>3980584.15</v>
      </c>
      <c r="W30" s="19">
        <v>4175888.7249999992</v>
      </c>
      <c r="X30" s="19">
        <v>4371196.1100000013</v>
      </c>
      <c r="Y30" s="19">
        <v>4566506.2350000013</v>
      </c>
      <c r="Z30" s="19">
        <v>4735711.8199999984</v>
      </c>
      <c r="AA30" s="19">
        <v>4891866.370000001</v>
      </c>
      <c r="AB30" s="19">
        <v>5021916.24</v>
      </c>
      <c r="AC30" s="19">
        <v>5135468.5399999972</v>
      </c>
      <c r="AD30" s="19">
        <v>5265523.28</v>
      </c>
      <c r="AE30" s="19">
        <v>5395580.3900000043</v>
      </c>
      <c r="AF30" s="19">
        <v>5525639.79</v>
      </c>
      <c r="AG30" s="19">
        <v>5655701.4100000048</v>
      </c>
      <c r="AH30" s="19">
        <v>5785765.29</v>
      </c>
      <c r="AI30" s="19">
        <v>5915831.299999997</v>
      </c>
      <c r="AJ30" s="19">
        <v>6045899.4000000004</v>
      </c>
      <c r="AK30" s="19">
        <v>6175969.5699999984</v>
      </c>
      <c r="AL30" s="19">
        <v>6306041.7199999997</v>
      </c>
      <c r="AM30" s="19">
        <v>6436115.9099999974</v>
      </c>
      <c r="AN30" s="19">
        <v>6566191.9699999997</v>
      </c>
      <c r="AO30" s="19">
        <v>6678119.9800000051</v>
      </c>
      <c r="AP30" s="19">
        <v>6808199.8099999996</v>
      </c>
      <c r="AQ30" s="19">
        <v>6938281.5100000044</v>
      </c>
      <c r="AR30" s="19">
        <v>7068364.9800000004</v>
      </c>
      <c r="AS30" s="19">
        <v>7198450.2099999897</v>
      </c>
      <c r="AT30" s="19">
        <v>7328537.1399999997</v>
      </c>
      <c r="AU30" s="19">
        <v>7458625.7800000049</v>
      </c>
      <c r="AV30" s="19">
        <v>7588716.0700000003</v>
      </c>
      <c r="AW30" s="19">
        <v>6151432.8099999996</v>
      </c>
      <c r="AX30" s="19">
        <v>7632517.5</v>
      </c>
      <c r="AY30" s="19">
        <v>7632517.5</v>
      </c>
      <c r="AZ30" s="19">
        <v>7632517.5</v>
      </c>
    </row>
    <row r="31" spans="1:52" x14ac:dyDescent="0.2">
      <c r="A31" s="9" t="s">
        <v>177</v>
      </c>
      <c r="B31" s="16">
        <v>-26.637</v>
      </c>
      <c r="C31" s="16">
        <v>-134.75200000000001</v>
      </c>
      <c r="D31" s="16">
        <v>-452.48500000000001</v>
      </c>
      <c r="E31" s="16">
        <v>-5741.5615700000008</v>
      </c>
      <c r="F31" s="16">
        <v>-5981.0349999999999</v>
      </c>
      <c r="G31" s="16">
        <v>-5905.4560000000001</v>
      </c>
      <c r="H31" s="16">
        <v>-4923.2220000000007</v>
      </c>
      <c r="I31" s="16">
        <v>-713.49099999999999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1:52" x14ac:dyDescent="0.2">
      <c r="A32" s="5" t="s">
        <v>178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-109589.34</v>
      </c>
      <c r="L32" s="17">
        <v>-273973.34999999998</v>
      </c>
      <c r="M32" s="17">
        <v>-410960.02500000002</v>
      </c>
      <c r="N32" s="17">
        <v>-486028.55</v>
      </c>
      <c r="O32" s="17">
        <v>-527688.14</v>
      </c>
      <c r="P32" s="17">
        <v>-555461.20000000007</v>
      </c>
      <c r="Q32" s="17">
        <v>-611007.32000000007</v>
      </c>
      <c r="R32" s="17">
        <v>-666553.44000000006</v>
      </c>
      <c r="S32" s="17">
        <v>-722099.56</v>
      </c>
      <c r="T32" s="17">
        <v>-777645.68</v>
      </c>
      <c r="U32" s="17">
        <v>-833191.8</v>
      </c>
      <c r="V32" s="17">
        <v>-888737.92</v>
      </c>
      <c r="W32" s="17">
        <v>-930397.51</v>
      </c>
      <c r="X32" s="17">
        <v>-972057.10000000009</v>
      </c>
      <c r="Y32" s="17">
        <v>-1013716.69</v>
      </c>
      <c r="Z32" s="17">
        <v>-1049821.6680000001</v>
      </c>
      <c r="AA32" s="17">
        <v>-1083149.3400000001</v>
      </c>
      <c r="AB32" s="17">
        <v>-1110922.3999999999</v>
      </c>
      <c r="AC32" s="17">
        <v>-1138695.46</v>
      </c>
      <c r="AD32" s="17">
        <v>-1166468.52</v>
      </c>
      <c r="AE32" s="17">
        <v>-1194241.58</v>
      </c>
      <c r="AF32" s="17">
        <v>-1222014.6399999999</v>
      </c>
      <c r="AG32" s="17">
        <v>-1249787.7</v>
      </c>
      <c r="AH32" s="17">
        <v>-1277560.76</v>
      </c>
      <c r="AI32" s="17">
        <v>-1305333.82</v>
      </c>
      <c r="AJ32" s="17">
        <v>-1333106.8799999999</v>
      </c>
      <c r="AK32" s="17">
        <v>-1360879.94</v>
      </c>
      <c r="AL32" s="17">
        <v>-1388653</v>
      </c>
      <c r="AM32" s="17">
        <v>-1416426.06</v>
      </c>
      <c r="AN32" s="17">
        <v>-1444199.12</v>
      </c>
      <c r="AO32" s="17">
        <v>-1471972.18</v>
      </c>
      <c r="AP32" s="17">
        <v>-1499745.24</v>
      </c>
      <c r="AQ32" s="17">
        <v>-1527518.3</v>
      </c>
      <c r="AR32" s="17">
        <v>-1555291.36</v>
      </c>
      <c r="AS32" s="17">
        <v>-1583064.42</v>
      </c>
      <c r="AT32" s="17">
        <v>-1610837.48</v>
      </c>
      <c r="AU32" s="17">
        <v>-1638610.54</v>
      </c>
      <c r="AV32" s="17">
        <v>-1666383.6</v>
      </c>
      <c r="AW32" s="17">
        <v>-1666383.6</v>
      </c>
      <c r="AX32" s="17">
        <v>-1666383.6</v>
      </c>
      <c r="AY32" s="17">
        <v>-1666383.6</v>
      </c>
      <c r="AZ32" s="17">
        <v>-1666383.6</v>
      </c>
    </row>
    <row r="33" spans="1:52" x14ac:dyDescent="0.2">
      <c r="A33" s="13" t="s">
        <v>179</v>
      </c>
      <c r="B33" s="20">
        <v>-293.00700000000001</v>
      </c>
      <c r="C33" s="20">
        <v>-1482.2719999999999</v>
      </c>
      <c r="D33" s="20">
        <v>-4977.3349999999991</v>
      </c>
      <c r="E33" s="20">
        <v>-63157.17727</v>
      </c>
      <c r="F33" s="20">
        <v>-65791.384999999995</v>
      </c>
      <c r="G33" s="20">
        <v>-64960.016000000003</v>
      </c>
      <c r="H33" s="20">
        <v>-54155.442000000003</v>
      </c>
      <c r="I33" s="20">
        <v>-7848.4009999999998</v>
      </c>
      <c r="J33" s="20">
        <v>54011.07</v>
      </c>
      <c r="K33" s="20">
        <v>145043.01999999999</v>
      </c>
      <c r="L33" s="20">
        <v>622330.09999999963</v>
      </c>
      <c r="M33" s="20">
        <v>1021163.085</v>
      </c>
      <c r="N33" s="20">
        <v>1620890.2450000001</v>
      </c>
      <c r="O33" s="20">
        <v>1774509.56</v>
      </c>
      <c r="P33" s="20">
        <v>1876750.88</v>
      </c>
      <c r="Q33" s="20">
        <v>2066758.75</v>
      </c>
      <c r="R33" s="20">
        <v>2271769.9800000009</v>
      </c>
      <c r="S33" s="20">
        <v>2476784.3899999978</v>
      </c>
      <c r="T33" s="20">
        <v>2681802.0299999998</v>
      </c>
      <c r="U33" s="20">
        <v>2886822.61</v>
      </c>
      <c r="V33" s="20">
        <v>3091846.23</v>
      </c>
      <c r="W33" s="20">
        <v>3245491.2149999989</v>
      </c>
      <c r="X33" s="20">
        <v>3399139.0100000012</v>
      </c>
      <c r="Y33" s="20">
        <v>3552789.5450000009</v>
      </c>
      <c r="Z33" s="20">
        <v>3685890.151999997</v>
      </c>
      <c r="AA33" s="20">
        <v>3808717.0300000012</v>
      </c>
      <c r="AB33" s="20">
        <v>3910993.84</v>
      </c>
      <c r="AC33" s="20">
        <v>3996773.0799999968</v>
      </c>
      <c r="AD33" s="20">
        <v>4099054.76</v>
      </c>
      <c r="AE33" s="20">
        <v>4201338.8100000042</v>
      </c>
      <c r="AF33" s="20">
        <v>4303625.1500000004</v>
      </c>
      <c r="AG33" s="20">
        <v>4405913.7100000046</v>
      </c>
      <c r="AH33" s="20">
        <v>4508204.53</v>
      </c>
      <c r="AI33" s="20">
        <v>4610497.4799999967</v>
      </c>
      <c r="AJ33" s="20">
        <v>4712792.5199999996</v>
      </c>
      <c r="AK33" s="20">
        <v>4815089.6299999971</v>
      </c>
      <c r="AL33" s="20">
        <v>4917388.72</v>
      </c>
      <c r="AM33" s="20">
        <v>5019689.8499999978</v>
      </c>
      <c r="AN33" s="20">
        <v>5121992.8499999996</v>
      </c>
      <c r="AO33" s="20">
        <v>5206147.8000000035</v>
      </c>
      <c r="AP33" s="20">
        <v>5308454.5699999994</v>
      </c>
      <c r="AQ33" s="20">
        <v>5410763.2100000046</v>
      </c>
      <c r="AR33" s="20">
        <v>5513073.6200000001</v>
      </c>
      <c r="AS33" s="20">
        <v>5615385.7899999898</v>
      </c>
      <c r="AT33" s="20">
        <v>5717699.6600000001</v>
      </c>
      <c r="AU33" s="20">
        <v>5820015.2400000049</v>
      </c>
      <c r="AV33" s="20">
        <v>5922332.4700000007</v>
      </c>
      <c r="AW33" s="20">
        <v>4485049.209999999</v>
      </c>
      <c r="AX33" s="20">
        <v>5966133.9000000004</v>
      </c>
      <c r="AY33" s="20">
        <v>5966133.9000000004</v>
      </c>
      <c r="AZ33" s="20">
        <v>5966133.9000000004</v>
      </c>
    </row>
    <row r="34" spans="1:52" x14ac:dyDescent="0.2">
      <c r="A34" s="13" t="s">
        <v>180</v>
      </c>
      <c r="B34" s="20">
        <v>-293.00700000000001</v>
      </c>
      <c r="C34" s="20">
        <v>-1775.279</v>
      </c>
      <c r="D34" s="20">
        <v>-6752.6139999999996</v>
      </c>
      <c r="E34" s="20">
        <v>-69909.791270000002</v>
      </c>
      <c r="F34" s="20">
        <v>-135701.17627</v>
      </c>
      <c r="G34" s="20">
        <v>-200661.19227</v>
      </c>
      <c r="H34" s="20">
        <v>-254816.63427000001</v>
      </c>
      <c r="I34" s="20">
        <v>-262665.03526999999</v>
      </c>
      <c r="J34" s="20">
        <v>-208653.96526999999</v>
      </c>
      <c r="K34" s="20">
        <v>-63610.945270000033</v>
      </c>
      <c r="L34" s="20">
        <v>558719.1547299996</v>
      </c>
      <c r="M34" s="20">
        <v>1579882.23973</v>
      </c>
      <c r="N34" s="20">
        <v>3200772.4847300001</v>
      </c>
      <c r="O34" s="20">
        <v>4975282.0447299993</v>
      </c>
      <c r="P34" s="20">
        <v>6852032.9247299992</v>
      </c>
      <c r="Q34" s="20">
        <v>8918791.6747299992</v>
      </c>
      <c r="R34" s="20">
        <v>11190561.65473</v>
      </c>
      <c r="S34" s="20">
        <v>13667346.04473</v>
      </c>
      <c r="T34" s="20">
        <v>16349148.07473</v>
      </c>
      <c r="U34" s="20">
        <v>19235970.684730001</v>
      </c>
      <c r="V34" s="20">
        <v>22327816.914730001</v>
      </c>
      <c r="W34" s="20">
        <v>25573308.129730001</v>
      </c>
      <c r="X34" s="20">
        <v>28972447.139729999</v>
      </c>
      <c r="Y34" s="20">
        <v>32525236.684730001</v>
      </c>
      <c r="Z34" s="20">
        <v>36211126.836730003</v>
      </c>
      <c r="AA34" s="20">
        <v>40019843.866729997</v>
      </c>
      <c r="AB34" s="20">
        <v>43930837.706729993</v>
      </c>
      <c r="AC34" s="20">
        <v>47927610.786729991</v>
      </c>
      <c r="AD34" s="20">
        <v>52026665.546729989</v>
      </c>
      <c r="AE34" s="20">
        <v>56228004.356729992</v>
      </c>
      <c r="AF34" s="20">
        <v>60531629.50672999</v>
      </c>
      <c r="AG34" s="20">
        <v>64937543.216729999</v>
      </c>
      <c r="AH34" s="20">
        <v>69445747.74673</v>
      </c>
      <c r="AI34" s="20">
        <v>74056245.226729989</v>
      </c>
      <c r="AJ34" s="20">
        <v>78769037.746729985</v>
      </c>
      <c r="AK34" s="20">
        <v>83584127.37672998</v>
      </c>
      <c r="AL34" s="20">
        <v>88501516.096729979</v>
      </c>
      <c r="AM34" s="20">
        <v>93521205.946729973</v>
      </c>
      <c r="AN34" s="20">
        <v>98643198.796729967</v>
      </c>
      <c r="AO34" s="20">
        <v>103849346.59672999</v>
      </c>
      <c r="AP34" s="20">
        <v>109157801.16673</v>
      </c>
      <c r="AQ34" s="20">
        <v>114568564.37673</v>
      </c>
      <c r="AR34" s="20">
        <v>120081637.99673</v>
      </c>
      <c r="AS34" s="20">
        <v>125697023.78673001</v>
      </c>
      <c r="AT34" s="20">
        <v>131414723.44673</v>
      </c>
      <c r="AU34" s="20">
        <v>137234738.68673</v>
      </c>
      <c r="AV34" s="20">
        <v>143157071.15673</v>
      </c>
      <c r="AW34" s="20">
        <v>147642120.36673</v>
      </c>
      <c r="AX34" s="20">
        <v>153608254.26673001</v>
      </c>
      <c r="AY34" s="20">
        <v>159574388.16672999</v>
      </c>
      <c r="AZ34" s="20">
        <v>165540522.06672999</v>
      </c>
    </row>
  </sheetData>
  <mergeCells count="2">
    <mergeCell ref="A2:BA2"/>
    <mergeCell ref="A1:B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34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46" customWidth="1"/>
    <col min="2" max="52" width="15" customWidth="1"/>
  </cols>
  <sheetData>
    <row r="1" spans="1:53" ht="21" x14ac:dyDescent="0.25">
      <c r="A1" s="29" t="s">
        <v>181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3" x14ac:dyDescent="0.2">
      <c r="A2" s="28" t="s">
        <v>182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4" spans="1:53" x14ac:dyDescent="0.2">
      <c r="A4" s="11" t="s">
        <v>150</v>
      </c>
      <c r="B4" s="12" t="s">
        <v>9</v>
      </c>
      <c r="C4" s="12" t="s">
        <v>14</v>
      </c>
      <c r="D4" s="12" t="s">
        <v>19</v>
      </c>
      <c r="E4" s="12" t="s">
        <v>24</v>
      </c>
      <c r="F4" s="12" t="s">
        <v>29</v>
      </c>
      <c r="G4" s="12" t="s">
        <v>34</v>
      </c>
      <c r="H4" s="12" t="s">
        <v>36</v>
      </c>
      <c r="I4" s="12" t="s">
        <v>41</v>
      </c>
      <c r="J4" s="12" t="s">
        <v>46</v>
      </c>
      <c r="K4" s="12" t="s">
        <v>51</v>
      </c>
      <c r="L4" s="12" t="s">
        <v>53</v>
      </c>
      <c r="M4" s="12" t="s">
        <v>58</v>
      </c>
      <c r="N4" s="12" t="s">
        <v>61</v>
      </c>
      <c r="O4" s="12" t="s">
        <v>64</v>
      </c>
      <c r="P4" s="12" t="s">
        <v>69</v>
      </c>
      <c r="Q4" s="12" t="s">
        <v>71</v>
      </c>
      <c r="R4" s="12" t="s">
        <v>75</v>
      </c>
      <c r="S4" s="12" t="s">
        <v>80</v>
      </c>
      <c r="T4" s="12" t="s">
        <v>85</v>
      </c>
      <c r="U4" s="12" t="s">
        <v>90</v>
      </c>
      <c r="V4" s="12" t="s">
        <v>92</v>
      </c>
      <c r="W4" s="12" t="s">
        <v>97</v>
      </c>
      <c r="X4" s="12" t="s">
        <v>102</v>
      </c>
      <c r="Y4" s="12" t="s">
        <v>107</v>
      </c>
      <c r="Z4" s="12" t="s">
        <v>109</v>
      </c>
      <c r="AA4" s="12" t="s">
        <v>114</v>
      </c>
      <c r="AB4" s="12" t="s">
        <v>119</v>
      </c>
      <c r="AC4" s="12" t="s">
        <v>124</v>
      </c>
      <c r="AD4" s="12" t="s">
        <v>125</v>
      </c>
      <c r="AE4" s="12" t="s">
        <v>126</v>
      </c>
      <c r="AF4" s="12" t="s">
        <v>127</v>
      </c>
      <c r="AG4" s="12" t="s">
        <v>128</v>
      </c>
      <c r="AH4" s="12" t="s">
        <v>129</v>
      </c>
      <c r="AI4" s="12" t="s">
        <v>130</v>
      </c>
      <c r="AJ4" s="12" t="s">
        <v>131</v>
      </c>
      <c r="AK4" s="12" t="s">
        <v>132</v>
      </c>
      <c r="AL4" s="12" t="s">
        <v>133</v>
      </c>
      <c r="AM4" s="12" t="s">
        <v>134</v>
      </c>
      <c r="AN4" s="12" t="s">
        <v>135</v>
      </c>
      <c r="AO4" s="12" t="s">
        <v>136</v>
      </c>
      <c r="AP4" s="12" t="s">
        <v>137</v>
      </c>
      <c r="AQ4" s="12" t="s">
        <v>138</v>
      </c>
      <c r="AR4" s="12" t="s">
        <v>139</v>
      </c>
      <c r="AS4" s="12" t="s">
        <v>140</v>
      </c>
      <c r="AT4" s="12" t="s">
        <v>141</v>
      </c>
      <c r="AU4" s="12" t="s">
        <v>142</v>
      </c>
      <c r="AV4" s="12" t="s">
        <v>143</v>
      </c>
      <c r="AW4" s="12" t="s">
        <v>144</v>
      </c>
      <c r="AX4" s="12" t="s">
        <v>145</v>
      </c>
      <c r="AY4" s="12" t="s">
        <v>146</v>
      </c>
      <c r="AZ4" s="12" t="s">
        <v>147</v>
      </c>
    </row>
    <row r="5" spans="1:53" x14ac:dyDescent="0.2">
      <c r="A5" s="13" t="s">
        <v>151</v>
      </c>
      <c r="B5" s="14">
        <v>100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</row>
    <row r="6" spans="1:53" x14ac:dyDescent="0.2">
      <c r="A6" s="2" t="s">
        <v>152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</row>
    <row r="7" spans="1:53" x14ac:dyDescent="0.2">
      <c r="A7" s="9" t="s">
        <v>153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1:53" x14ac:dyDescent="0.2">
      <c r="A8" s="5" t="s">
        <v>154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3" x14ac:dyDescent="0.2">
      <c r="A9" s="9" t="s">
        <v>155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1:53" x14ac:dyDescent="0.2">
      <c r="A10" s="5" t="s">
        <v>156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1:53" x14ac:dyDescent="0.2">
      <c r="A11" s="9" t="s">
        <v>157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3" x14ac:dyDescent="0.2">
      <c r="A12" s="18" t="s">
        <v>158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</row>
    <row r="13" spans="1:53" x14ac:dyDescent="0.2">
      <c r="A13" s="2" t="s">
        <v>159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</row>
    <row r="14" spans="1:53" x14ac:dyDescent="0.2">
      <c r="A14" s="5" t="s">
        <v>160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53" x14ac:dyDescent="0.2">
      <c r="A15" s="18" t="s">
        <v>161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</row>
    <row r="16" spans="1:53" x14ac:dyDescent="0.2">
      <c r="A16" s="2" t="s">
        <v>162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</row>
    <row r="17" spans="1:52" x14ac:dyDescent="0.2">
      <c r="A17" s="9" t="s">
        <v>163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2">
      <c r="A18" s="5" t="s">
        <v>164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1:52" x14ac:dyDescent="0.2">
      <c r="A19" s="9" t="s">
        <v>165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2">
      <c r="A20" s="18" t="s">
        <v>166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</row>
    <row r="21" spans="1:52" x14ac:dyDescent="0.2">
      <c r="A21" s="2" t="s">
        <v>167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</row>
    <row r="22" spans="1:52" x14ac:dyDescent="0.2">
      <c r="A22" s="5" t="s">
        <v>168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 x14ac:dyDescent="0.2">
      <c r="A23" s="9" t="s">
        <v>169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2">
      <c r="A24" s="5" t="s">
        <v>170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 x14ac:dyDescent="0.2">
      <c r="A25" s="9" t="s">
        <v>171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2">
      <c r="A26" s="5" t="s">
        <v>172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1:52" x14ac:dyDescent="0.2">
      <c r="A27" s="9" t="s">
        <v>173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2">
      <c r="A28" s="5" t="s">
        <v>174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1:52" x14ac:dyDescent="0.2">
      <c r="A29" s="2" t="s">
        <v>175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</row>
    <row r="30" spans="1:52" x14ac:dyDescent="0.2">
      <c r="A30" s="18" t="s">
        <v>176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</row>
    <row r="31" spans="1:52" x14ac:dyDescent="0.2">
      <c r="A31" s="9" t="s">
        <v>177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2">
      <c r="A32" s="5" t="s">
        <v>178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spans="1:52" x14ac:dyDescent="0.2">
      <c r="A33" s="13" t="s">
        <v>179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x14ac:dyDescent="0.2">
      <c r="A34" s="13" t="s">
        <v>180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</sheetData>
  <mergeCells count="2">
    <mergeCell ref="A2:BA2"/>
    <mergeCell ref="A1:B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34"/>
  <sheetViews>
    <sheetView workbookViewId="0">
      <selection sqref="A1:BA1"/>
    </sheetView>
  </sheetViews>
  <sheetFormatPr baseColWidth="10" defaultColWidth="8.83203125" defaultRowHeight="15" x14ac:dyDescent="0.2"/>
  <cols>
    <col min="1" max="1" width="46" customWidth="1"/>
    <col min="2" max="52" width="15" customWidth="1"/>
  </cols>
  <sheetData>
    <row r="1" spans="1:53" ht="21" x14ac:dyDescent="0.25">
      <c r="A1" s="29" t="s">
        <v>183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3" x14ac:dyDescent="0.2">
      <c r="A2" s="28" t="s">
        <v>184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4" spans="1:53" x14ac:dyDescent="0.2">
      <c r="A4" s="11" t="s">
        <v>150</v>
      </c>
      <c r="B4" s="12" t="s">
        <v>9</v>
      </c>
      <c r="C4" s="12" t="s">
        <v>14</v>
      </c>
      <c r="D4" s="12" t="s">
        <v>19</v>
      </c>
      <c r="E4" s="12" t="s">
        <v>24</v>
      </c>
      <c r="F4" s="12" t="s">
        <v>29</v>
      </c>
      <c r="G4" s="12" t="s">
        <v>34</v>
      </c>
      <c r="H4" s="12" t="s">
        <v>36</v>
      </c>
      <c r="I4" s="12" t="s">
        <v>41</v>
      </c>
      <c r="J4" s="12" t="s">
        <v>46</v>
      </c>
      <c r="K4" s="12" t="s">
        <v>51</v>
      </c>
      <c r="L4" s="12" t="s">
        <v>53</v>
      </c>
      <c r="M4" s="12" t="s">
        <v>58</v>
      </c>
      <c r="N4" s="12" t="s">
        <v>61</v>
      </c>
      <c r="O4" s="12" t="s">
        <v>64</v>
      </c>
      <c r="P4" s="12" t="s">
        <v>69</v>
      </c>
      <c r="Q4" s="12" t="s">
        <v>71</v>
      </c>
      <c r="R4" s="12" t="s">
        <v>75</v>
      </c>
      <c r="S4" s="12" t="s">
        <v>80</v>
      </c>
      <c r="T4" s="12" t="s">
        <v>85</v>
      </c>
      <c r="U4" s="12" t="s">
        <v>90</v>
      </c>
      <c r="V4" s="12" t="s">
        <v>92</v>
      </c>
      <c r="W4" s="12" t="s">
        <v>97</v>
      </c>
      <c r="X4" s="12" t="s">
        <v>102</v>
      </c>
      <c r="Y4" s="12" t="s">
        <v>107</v>
      </c>
      <c r="Z4" s="12" t="s">
        <v>109</v>
      </c>
      <c r="AA4" s="12" t="s">
        <v>114</v>
      </c>
      <c r="AB4" s="12" t="s">
        <v>119</v>
      </c>
      <c r="AC4" s="12" t="s">
        <v>124</v>
      </c>
      <c r="AD4" s="12" t="s">
        <v>125</v>
      </c>
      <c r="AE4" s="12" t="s">
        <v>126</v>
      </c>
      <c r="AF4" s="12" t="s">
        <v>127</v>
      </c>
      <c r="AG4" s="12" t="s">
        <v>128</v>
      </c>
      <c r="AH4" s="12" t="s">
        <v>129</v>
      </c>
      <c r="AI4" s="12" t="s">
        <v>130</v>
      </c>
      <c r="AJ4" s="12" t="s">
        <v>131</v>
      </c>
      <c r="AK4" s="12" t="s">
        <v>132</v>
      </c>
      <c r="AL4" s="12" t="s">
        <v>133</v>
      </c>
      <c r="AM4" s="12" t="s">
        <v>134</v>
      </c>
      <c r="AN4" s="12" t="s">
        <v>135</v>
      </c>
      <c r="AO4" s="12" t="s">
        <v>136</v>
      </c>
      <c r="AP4" s="12" t="s">
        <v>137</v>
      </c>
      <c r="AQ4" s="12" t="s">
        <v>138</v>
      </c>
      <c r="AR4" s="12" t="s">
        <v>139</v>
      </c>
      <c r="AS4" s="12" t="s">
        <v>140</v>
      </c>
      <c r="AT4" s="12" t="s">
        <v>141</v>
      </c>
      <c r="AU4" s="12" t="s">
        <v>142</v>
      </c>
      <c r="AV4" s="12" t="s">
        <v>143</v>
      </c>
      <c r="AW4" s="12" t="s">
        <v>144</v>
      </c>
      <c r="AX4" s="12" t="s">
        <v>145</v>
      </c>
      <c r="AY4" s="12" t="s">
        <v>146</v>
      </c>
      <c r="AZ4" s="12" t="s">
        <v>147</v>
      </c>
    </row>
    <row r="5" spans="1:53" x14ac:dyDescent="0.2">
      <c r="A5" s="13" t="s">
        <v>151</v>
      </c>
      <c r="B5" s="14">
        <f>Realizado!B5-Orçado!B5</f>
        <v>0</v>
      </c>
      <c r="C5" s="14">
        <f>Realizado!C5-Orçado!C5</f>
        <v>-500</v>
      </c>
      <c r="D5" s="14">
        <f>Realizado!D5-Orçado!D5</f>
        <v>-1000</v>
      </c>
      <c r="E5" s="14">
        <f>Realizado!E5-Orçado!E5</f>
        <v>-1333</v>
      </c>
      <c r="F5" s="14">
        <f>Realizado!F5-Orçado!F5</f>
        <v>-1750</v>
      </c>
      <c r="G5" s="14">
        <f>Realizado!G5-Orçado!G5</f>
        <v>-5000</v>
      </c>
      <c r="H5" s="14">
        <f>Realizado!H5-Orçado!H5</f>
        <v>-15000</v>
      </c>
      <c r="I5" s="14">
        <f>Realizado!I5-Orçado!I5</f>
        <v>-50000</v>
      </c>
      <c r="J5" s="14">
        <f>Realizado!J5-Orçado!J5</f>
        <v>-100000</v>
      </c>
      <c r="K5" s="14">
        <f>Realizado!K5-Orçado!K5</f>
        <v>-200000</v>
      </c>
      <c r="L5" s="14">
        <f>Realizado!L5-Orçado!L5</f>
        <v>-500000</v>
      </c>
      <c r="M5" s="14">
        <f>Realizado!M5-Orçado!M5</f>
        <v>-750000</v>
      </c>
      <c r="N5" s="14">
        <f>Realizado!N5-Orçado!N5</f>
        <v>-875000</v>
      </c>
      <c r="O5" s="14">
        <f>Realizado!O5-Orçado!O5</f>
        <v>-950000</v>
      </c>
      <c r="P5" s="14">
        <f>Realizado!P5-Orçado!P5</f>
        <v>-1000000</v>
      </c>
      <c r="Q5" s="14">
        <f>Realizado!Q5-Orçado!Q5</f>
        <v>-1100000</v>
      </c>
      <c r="R5" s="14">
        <f>Realizado!R5-Orçado!R5</f>
        <v>-1200000</v>
      </c>
      <c r="S5" s="14">
        <f>Realizado!S5-Orçado!S5</f>
        <v>-1300000</v>
      </c>
      <c r="T5" s="14">
        <f>Realizado!T5-Orçado!T5</f>
        <v>-1400000</v>
      </c>
      <c r="U5" s="14">
        <f>Realizado!U5-Orçado!U5</f>
        <v>-1500000</v>
      </c>
      <c r="V5" s="14">
        <f>Realizado!V5-Orçado!V5</f>
        <v>-1600000</v>
      </c>
      <c r="W5" s="14">
        <f>Realizado!W5-Orçado!W5</f>
        <v>-1675000</v>
      </c>
      <c r="X5" s="14">
        <f>Realizado!X5-Orçado!X5</f>
        <v>-1750000</v>
      </c>
      <c r="Y5" s="14">
        <f>Realizado!Y5-Orçado!Y5</f>
        <v>-1825000</v>
      </c>
      <c r="Z5" s="14">
        <f>Realizado!Z5-Orçado!Z5</f>
        <v>-1890000</v>
      </c>
      <c r="AA5" s="14">
        <f>Realizado!AA5-Orçado!AA5</f>
        <v>-1950000</v>
      </c>
      <c r="AB5" s="14">
        <f>Realizado!AB5-Orçado!AB5</f>
        <v>-2000000</v>
      </c>
      <c r="AC5" s="14">
        <f>Realizado!AC5-Orçado!AC5</f>
        <v>-2050000</v>
      </c>
      <c r="AD5" s="14">
        <f>Realizado!AD5-Orçado!AD5</f>
        <v>-2100000</v>
      </c>
      <c r="AE5" s="14">
        <f>Realizado!AE5-Orçado!AE5</f>
        <v>-2150000</v>
      </c>
      <c r="AF5" s="14">
        <f>Realizado!AF5-Orçado!AF5</f>
        <v>-2200000</v>
      </c>
      <c r="AG5" s="14">
        <f>Realizado!AG5-Orçado!AG5</f>
        <v>-2250000</v>
      </c>
      <c r="AH5" s="14">
        <f>Realizado!AH5-Orçado!AH5</f>
        <v>-2300000</v>
      </c>
      <c r="AI5" s="14">
        <f>Realizado!AI5-Orçado!AI5</f>
        <v>-2350000</v>
      </c>
      <c r="AJ5" s="14">
        <f>Realizado!AJ5-Orçado!AJ5</f>
        <v>-2400000</v>
      </c>
      <c r="AK5" s="14">
        <f>Realizado!AK5-Orçado!AK5</f>
        <v>-2450000</v>
      </c>
      <c r="AL5" s="14">
        <f>Realizado!AL5-Orçado!AL5</f>
        <v>-2500000</v>
      </c>
      <c r="AM5" s="14">
        <f>Realizado!AM5-Orçado!AM5</f>
        <v>-2550000</v>
      </c>
      <c r="AN5" s="14">
        <f>Realizado!AN5-Orçado!AN5</f>
        <v>-2600000</v>
      </c>
      <c r="AO5" s="14">
        <f>Realizado!AO5-Orçado!AO5</f>
        <v>-2650000</v>
      </c>
      <c r="AP5" s="14">
        <f>Realizado!AP5-Orçado!AP5</f>
        <v>-2700000</v>
      </c>
      <c r="AQ5" s="14">
        <f>Realizado!AQ5-Orçado!AQ5</f>
        <v>-2750000</v>
      </c>
      <c r="AR5" s="14">
        <f>Realizado!AR5-Orçado!AR5</f>
        <v>-2800000</v>
      </c>
      <c r="AS5" s="14">
        <f>Realizado!AS5-Orçado!AS5</f>
        <v>-2850000</v>
      </c>
      <c r="AT5" s="14">
        <f>Realizado!AT5-Orçado!AT5</f>
        <v>-2900000</v>
      </c>
      <c r="AU5" s="14">
        <f>Realizado!AU5-Orçado!AU5</f>
        <v>-2950000</v>
      </c>
      <c r="AV5" s="14">
        <f>Realizado!AV5-Orçado!AV5</f>
        <v>-3000000</v>
      </c>
      <c r="AW5" s="14">
        <f>Realizado!AW5-Orçado!AW5</f>
        <v>-3000000</v>
      </c>
      <c r="AX5" s="14">
        <f>Realizado!AX5-Orçado!AX5</f>
        <v>-3000000</v>
      </c>
      <c r="AY5" s="14">
        <f>Realizado!AY5-Orçado!AY5</f>
        <v>-3000000</v>
      </c>
      <c r="AZ5" s="14">
        <f>Realizado!AZ5-Orçado!AZ5</f>
        <v>-3000000</v>
      </c>
    </row>
    <row r="6" spans="1:53" x14ac:dyDescent="0.2">
      <c r="A6" s="2" t="s">
        <v>152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</row>
    <row r="7" spans="1:53" x14ac:dyDescent="0.2">
      <c r="A7" s="9" t="s">
        <v>153</v>
      </c>
      <c r="B7" s="16">
        <f>Realizado!B7-Orçado!B7</f>
        <v>-80</v>
      </c>
      <c r="C7" s="16">
        <f>Realizado!C7-Orçado!C7</f>
        <v>-400</v>
      </c>
      <c r="D7" s="16">
        <f>Realizado!D7-Orçado!D7</f>
        <v>-800</v>
      </c>
      <c r="E7" s="16">
        <f>Realizado!E7-Orçado!E7</f>
        <v>-1040</v>
      </c>
      <c r="F7" s="16">
        <f>Realizado!F7-Orçado!F7</f>
        <v>-1400</v>
      </c>
      <c r="G7" s="16">
        <f>Realizado!G7-Orçado!G7</f>
        <v>-4000</v>
      </c>
      <c r="H7" s="16">
        <f>Realizado!H7-Orçado!H7</f>
        <v>-12000</v>
      </c>
      <c r="I7" s="16">
        <f>Realizado!I7-Orçado!I7</f>
        <v>-40000</v>
      </c>
      <c r="J7" s="16">
        <f>Realizado!J7-Orçado!J7</f>
        <v>-80000</v>
      </c>
      <c r="K7" s="16">
        <f>Realizado!K7-Orçado!K7</f>
        <v>-160000</v>
      </c>
      <c r="L7" s="16">
        <f>Realizado!L7-Orçado!L7</f>
        <v>-400000</v>
      </c>
      <c r="M7" s="16">
        <f>Realizado!M7-Orçado!M7</f>
        <v>-600000</v>
      </c>
      <c r="N7" s="16">
        <f>Realizado!N7-Orçado!N7</f>
        <v>-700000</v>
      </c>
      <c r="O7" s="16">
        <f>Realizado!O7-Orçado!O7</f>
        <v>-760000</v>
      </c>
      <c r="P7" s="16">
        <f>Realizado!P7-Orçado!P7</f>
        <v>-800000</v>
      </c>
      <c r="Q7" s="16">
        <f>Realizado!Q7-Orçado!Q7</f>
        <v>-880000</v>
      </c>
      <c r="R7" s="16">
        <f>Realizado!R7-Orçado!R7</f>
        <v>-960000</v>
      </c>
      <c r="S7" s="16">
        <f>Realizado!S7-Orçado!S7</f>
        <v>-1040000</v>
      </c>
      <c r="T7" s="16">
        <f>Realizado!T7-Orçado!T7</f>
        <v>-1120000</v>
      </c>
      <c r="U7" s="16">
        <f>Realizado!U7-Orçado!U7</f>
        <v>-1200000</v>
      </c>
      <c r="V7" s="16">
        <f>Realizado!V7-Orçado!V7</f>
        <v>-1280000</v>
      </c>
      <c r="W7" s="16">
        <f>Realizado!W7-Orçado!W7</f>
        <v>-1340000</v>
      </c>
      <c r="X7" s="16">
        <f>Realizado!X7-Orçado!X7</f>
        <v>-1400000</v>
      </c>
      <c r="Y7" s="16">
        <f>Realizado!Y7-Orçado!Y7</f>
        <v>-1460000</v>
      </c>
      <c r="Z7" s="16">
        <f>Realizado!Z7-Orçado!Z7</f>
        <v>-1512000</v>
      </c>
      <c r="AA7" s="16">
        <f>Realizado!AA7-Orçado!AA7</f>
        <v>-1560000</v>
      </c>
      <c r="AB7" s="16">
        <f>Realizado!AB7-Orçado!AB7</f>
        <v>-1600000</v>
      </c>
      <c r="AC7" s="16">
        <f>Realizado!AC7-Orçado!AC7</f>
        <v>-1640000</v>
      </c>
      <c r="AD7" s="16">
        <f>Realizado!AD7-Orçado!AD7</f>
        <v>-1680000</v>
      </c>
      <c r="AE7" s="16">
        <f>Realizado!AE7-Orçado!AE7</f>
        <v>-1720000</v>
      </c>
      <c r="AF7" s="16">
        <f>Realizado!AF7-Orçado!AF7</f>
        <v>-1760000</v>
      </c>
      <c r="AG7" s="16">
        <f>Realizado!AG7-Orçado!AG7</f>
        <v>-1800000</v>
      </c>
      <c r="AH7" s="16">
        <f>Realizado!AH7-Orçado!AH7</f>
        <v>-1840000</v>
      </c>
      <c r="AI7" s="16">
        <f>Realizado!AI7-Orçado!AI7</f>
        <v>-1880000</v>
      </c>
      <c r="AJ7" s="16">
        <f>Realizado!AJ7-Orçado!AJ7</f>
        <v>-1920000</v>
      </c>
      <c r="AK7" s="16">
        <f>Realizado!AK7-Orçado!AK7</f>
        <v>-1960000</v>
      </c>
      <c r="AL7" s="16">
        <f>Realizado!AL7-Orçado!AL7</f>
        <v>-2000000</v>
      </c>
      <c r="AM7" s="16">
        <f>Realizado!AM7-Orçado!AM7</f>
        <v>-2040000</v>
      </c>
      <c r="AN7" s="16">
        <f>Realizado!AN7-Orçado!AN7</f>
        <v>-2080000</v>
      </c>
      <c r="AO7" s="16">
        <f>Realizado!AO7-Orçado!AO7</f>
        <v>-2120000</v>
      </c>
      <c r="AP7" s="16">
        <f>Realizado!AP7-Orçado!AP7</f>
        <v>-2160000</v>
      </c>
      <c r="AQ7" s="16">
        <f>Realizado!AQ7-Orçado!AQ7</f>
        <v>-2200000</v>
      </c>
      <c r="AR7" s="16">
        <f>Realizado!AR7-Orçado!AR7</f>
        <v>-2240000</v>
      </c>
      <c r="AS7" s="16">
        <f>Realizado!AS7-Orçado!AS7</f>
        <v>-2280000</v>
      </c>
      <c r="AT7" s="16">
        <f>Realizado!AT7-Orçado!AT7</f>
        <v>-2320000</v>
      </c>
      <c r="AU7" s="16">
        <f>Realizado!AU7-Orçado!AU7</f>
        <v>-2360000</v>
      </c>
      <c r="AV7" s="16">
        <f>Realizado!AV7-Orçado!AV7</f>
        <v>-2400000</v>
      </c>
      <c r="AW7" s="16">
        <f>Realizado!AW7-Orçado!AW7</f>
        <v>-2400000</v>
      </c>
      <c r="AX7" s="16">
        <f>Realizado!AX7-Orçado!AX7</f>
        <v>-2400000</v>
      </c>
      <c r="AY7" s="16">
        <f>Realizado!AY7-Orçado!AY7</f>
        <v>-2400000</v>
      </c>
      <c r="AZ7" s="16">
        <f>Realizado!AZ7-Orçado!AZ7</f>
        <v>-2400000</v>
      </c>
    </row>
    <row r="8" spans="1:53" x14ac:dyDescent="0.2">
      <c r="A8" s="5" t="s">
        <v>154</v>
      </c>
      <c r="B8" s="17">
        <f>Realizado!B8-Orçado!B8</f>
        <v>0</v>
      </c>
      <c r="C8" s="17">
        <f>Realizado!C8-Orçado!C8</f>
        <v>0</v>
      </c>
      <c r="D8" s="17">
        <f>Realizado!D8-Orçado!D8</f>
        <v>0</v>
      </c>
      <c r="E8" s="17">
        <f>Realizado!E8-Orçado!E8</f>
        <v>0</v>
      </c>
      <c r="F8" s="17">
        <f>Realizado!F8-Orçado!F8</f>
        <v>0</v>
      </c>
      <c r="G8" s="17">
        <f>Realizado!G8-Orçado!G8</f>
        <v>0</v>
      </c>
      <c r="H8" s="17">
        <f>Realizado!H8-Orçado!H8</f>
        <v>0</v>
      </c>
      <c r="I8" s="17">
        <f>Realizado!I8-Orçado!I8</f>
        <v>0</v>
      </c>
      <c r="J8" s="17">
        <f>Realizado!J8-Orçado!J8</f>
        <v>0</v>
      </c>
      <c r="K8" s="17">
        <f>Realizado!K8-Orçado!K8</f>
        <v>-3980</v>
      </c>
      <c r="L8" s="17">
        <f>Realizado!L8-Orçado!L8</f>
        <v>-9950</v>
      </c>
      <c r="M8" s="17">
        <f>Realizado!M8-Orçado!M8</f>
        <v>-14925</v>
      </c>
      <c r="N8" s="17">
        <f>Realizado!N8-Orçado!N8</f>
        <v>-17412.5</v>
      </c>
      <c r="O8" s="17">
        <f>Realizado!O8-Orçado!O8</f>
        <v>-18905</v>
      </c>
      <c r="P8" s="17">
        <f>Realizado!P8-Orçado!P8</f>
        <v>-19900</v>
      </c>
      <c r="Q8" s="17">
        <f>Realizado!Q8-Orçado!Q8</f>
        <v>-21890</v>
      </c>
      <c r="R8" s="17">
        <f>Realizado!R8-Orçado!R8</f>
        <v>-23880</v>
      </c>
      <c r="S8" s="17">
        <f>Realizado!S8-Orçado!S8</f>
        <v>-25870</v>
      </c>
      <c r="T8" s="17">
        <f>Realizado!T8-Orçado!T8</f>
        <v>-27860</v>
      </c>
      <c r="U8" s="17">
        <f>Realizado!U8-Orçado!U8</f>
        <v>-29850</v>
      </c>
      <c r="V8" s="17">
        <f>Realizado!V8-Orçado!V8</f>
        <v>-31840</v>
      </c>
      <c r="W8" s="17">
        <f>Realizado!W8-Orçado!W8</f>
        <v>-33332.5</v>
      </c>
      <c r="X8" s="17">
        <f>Realizado!X8-Orçado!X8</f>
        <v>-34825</v>
      </c>
      <c r="Y8" s="17">
        <f>Realizado!Y8-Orçado!Y8</f>
        <v>-36317.5</v>
      </c>
      <c r="Z8" s="17">
        <f>Realizado!Z8-Orçado!Z8</f>
        <v>-37611</v>
      </c>
      <c r="AA8" s="17">
        <f>Realizado!AA8-Orçado!AA8</f>
        <v>-38805</v>
      </c>
      <c r="AB8" s="17">
        <f>Realizado!AB8-Orçado!AB8</f>
        <v>-39800</v>
      </c>
      <c r="AC8" s="17">
        <f>Realizado!AC8-Orçado!AC8</f>
        <v>-40795</v>
      </c>
      <c r="AD8" s="17">
        <f>Realizado!AD8-Orçado!AD8</f>
        <v>-41790</v>
      </c>
      <c r="AE8" s="17">
        <f>Realizado!AE8-Orçado!AE8</f>
        <v>-42785</v>
      </c>
      <c r="AF8" s="17">
        <f>Realizado!AF8-Orçado!AF8</f>
        <v>-43780</v>
      </c>
      <c r="AG8" s="17">
        <f>Realizado!AG8-Orçado!AG8</f>
        <v>-44775</v>
      </c>
      <c r="AH8" s="17">
        <f>Realizado!AH8-Orçado!AH8</f>
        <v>-45770</v>
      </c>
      <c r="AI8" s="17">
        <f>Realizado!AI8-Orçado!AI8</f>
        <v>-46765</v>
      </c>
      <c r="AJ8" s="17">
        <f>Realizado!AJ8-Orçado!AJ8</f>
        <v>-47760</v>
      </c>
      <c r="AK8" s="17">
        <f>Realizado!AK8-Orçado!AK8</f>
        <v>-48755</v>
      </c>
      <c r="AL8" s="17">
        <f>Realizado!AL8-Orçado!AL8</f>
        <v>-49750</v>
      </c>
      <c r="AM8" s="17">
        <f>Realizado!AM8-Orçado!AM8</f>
        <v>-50745</v>
      </c>
      <c r="AN8" s="17">
        <f>Realizado!AN8-Orçado!AN8</f>
        <v>-51739.999999999993</v>
      </c>
      <c r="AO8" s="17">
        <f>Realizado!AO8-Orçado!AO8</f>
        <v>-52734.999999999993</v>
      </c>
      <c r="AP8" s="17">
        <f>Realizado!AP8-Orçado!AP8</f>
        <v>-53729.999999999993</v>
      </c>
      <c r="AQ8" s="17">
        <f>Realizado!AQ8-Orçado!AQ8</f>
        <v>-54724.999999999993</v>
      </c>
      <c r="AR8" s="17">
        <f>Realizado!AR8-Orçado!AR8</f>
        <v>-55719.999999999993</v>
      </c>
      <c r="AS8" s="17">
        <f>Realizado!AS8-Orçado!AS8</f>
        <v>-56714.999999999993</v>
      </c>
      <c r="AT8" s="17">
        <f>Realizado!AT8-Orçado!AT8</f>
        <v>-57709.999999999993</v>
      </c>
      <c r="AU8" s="17">
        <f>Realizado!AU8-Orçado!AU8</f>
        <v>-58704.999999999993</v>
      </c>
      <c r="AV8" s="17">
        <f>Realizado!AV8-Orçado!AV8</f>
        <v>-59699.999999999993</v>
      </c>
      <c r="AW8" s="17">
        <f>Realizado!AW8-Orçado!AW8</f>
        <v>-59699.999999999993</v>
      </c>
      <c r="AX8" s="17">
        <f>Realizado!AX8-Orçado!AX8</f>
        <v>-59699.999999999993</v>
      </c>
      <c r="AY8" s="17">
        <f>Realizado!AY8-Orçado!AY8</f>
        <v>-59699.999999999993</v>
      </c>
      <c r="AZ8" s="17">
        <f>Realizado!AZ8-Orçado!AZ8</f>
        <v>-59699.999999999993</v>
      </c>
    </row>
    <row r="9" spans="1:53" x14ac:dyDescent="0.2">
      <c r="A9" s="9" t="s">
        <v>155</v>
      </c>
      <c r="B9" s="16">
        <f>Realizado!B9-Orçado!B9</f>
        <v>0</v>
      </c>
      <c r="C9" s="16">
        <f>Realizado!C9-Orçado!C9</f>
        <v>0</v>
      </c>
      <c r="D9" s="16">
        <f>Realizado!D9-Orçado!D9</f>
        <v>0</v>
      </c>
      <c r="E9" s="16">
        <f>Realizado!E9-Orçado!E9</f>
        <v>-119.97</v>
      </c>
      <c r="F9" s="16">
        <f>Realizado!F9-Orçado!F9</f>
        <v>-315</v>
      </c>
      <c r="G9" s="16">
        <f>Realizado!G9-Orçado!G9</f>
        <v>-2250</v>
      </c>
      <c r="H9" s="16">
        <f>Realizado!H9-Orçado!H9</f>
        <v>-13500</v>
      </c>
      <c r="I9" s="16">
        <f>Realizado!I9-Orçado!I9</f>
        <v>-45000</v>
      </c>
      <c r="J9" s="16">
        <f>Realizado!J9-Orçado!J9</f>
        <v>-90000</v>
      </c>
      <c r="K9" s="16">
        <f>Realizado!K9-Orçado!K9</f>
        <v>-180000</v>
      </c>
      <c r="L9" s="16">
        <f>Realizado!L9-Orçado!L9</f>
        <v>-450000</v>
      </c>
      <c r="M9" s="16">
        <f>Realizado!M9-Orçado!M9</f>
        <v>-675000</v>
      </c>
      <c r="N9" s="16">
        <f>Realizado!N9-Orçado!N9</f>
        <v>-787500</v>
      </c>
      <c r="O9" s="16">
        <f>Realizado!O9-Orçado!O9</f>
        <v>-855000</v>
      </c>
      <c r="P9" s="16">
        <f>Realizado!P9-Orçado!P9</f>
        <v>-900000</v>
      </c>
      <c r="Q9" s="16">
        <f>Realizado!Q9-Orçado!Q9</f>
        <v>-990000</v>
      </c>
      <c r="R9" s="16">
        <f>Realizado!R9-Orçado!R9</f>
        <v>-1080000</v>
      </c>
      <c r="S9" s="16">
        <f>Realizado!S9-Orçado!S9</f>
        <v>-1170000</v>
      </c>
      <c r="T9" s="16">
        <f>Realizado!T9-Orçado!T9</f>
        <v>-1260000</v>
      </c>
      <c r="U9" s="16">
        <f>Realizado!U9-Orçado!U9</f>
        <v>-1350000</v>
      </c>
      <c r="V9" s="16">
        <f>Realizado!V9-Orçado!V9</f>
        <v>-1440000</v>
      </c>
      <c r="W9" s="16">
        <f>Realizado!W9-Orçado!W9</f>
        <v>-1507500</v>
      </c>
      <c r="X9" s="16">
        <f>Realizado!X9-Orçado!X9</f>
        <v>-1575000</v>
      </c>
      <c r="Y9" s="16">
        <f>Realizado!Y9-Orçado!Y9</f>
        <v>-1642500</v>
      </c>
      <c r="Z9" s="16">
        <f>Realizado!Z9-Orçado!Z9</f>
        <v>-1701000</v>
      </c>
      <c r="AA9" s="16">
        <f>Realizado!AA9-Orçado!AA9</f>
        <v>-1755000</v>
      </c>
      <c r="AB9" s="16">
        <f>Realizado!AB9-Orçado!AB9</f>
        <v>-1800000</v>
      </c>
      <c r="AC9" s="16">
        <f>Realizado!AC9-Orçado!AC9</f>
        <v>-1845000</v>
      </c>
      <c r="AD9" s="16">
        <f>Realizado!AD9-Orçado!AD9</f>
        <v>-1890000</v>
      </c>
      <c r="AE9" s="16">
        <f>Realizado!AE9-Orçado!AE9</f>
        <v>-1935000</v>
      </c>
      <c r="AF9" s="16">
        <f>Realizado!AF9-Orçado!AF9</f>
        <v>-1980000</v>
      </c>
      <c r="AG9" s="16">
        <f>Realizado!AG9-Orçado!AG9</f>
        <v>-2025000</v>
      </c>
      <c r="AH9" s="16">
        <f>Realizado!AH9-Orçado!AH9</f>
        <v>-2070000</v>
      </c>
      <c r="AI9" s="16">
        <f>Realizado!AI9-Orçado!AI9</f>
        <v>-2115000</v>
      </c>
      <c r="AJ9" s="16">
        <f>Realizado!AJ9-Orçado!AJ9</f>
        <v>-2160000</v>
      </c>
      <c r="AK9" s="16">
        <f>Realizado!AK9-Orçado!AK9</f>
        <v>-2205000</v>
      </c>
      <c r="AL9" s="16">
        <f>Realizado!AL9-Orçado!AL9</f>
        <v>-2250000</v>
      </c>
      <c r="AM9" s="16">
        <f>Realizado!AM9-Orçado!AM9</f>
        <v>-2295000</v>
      </c>
      <c r="AN9" s="16">
        <f>Realizado!AN9-Orçado!AN9</f>
        <v>-2340000</v>
      </c>
      <c r="AO9" s="16">
        <f>Realizado!AO9-Orçado!AO9</f>
        <v>-2385000</v>
      </c>
      <c r="AP9" s="16">
        <f>Realizado!AP9-Orçado!AP9</f>
        <v>-2430000</v>
      </c>
      <c r="AQ9" s="16">
        <f>Realizado!AQ9-Orçado!AQ9</f>
        <v>-2475000</v>
      </c>
      <c r="AR9" s="16">
        <f>Realizado!AR9-Orçado!AR9</f>
        <v>-2520000</v>
      </c>
      <c r="AS9" s="16">
        <f>Realizado!AS9-Orçado!AS9</f>
        <v>-2565000</v>
      </c>
      <c r="AT9" s="16">
        <f>Realizado!AT9-Orçado!AT9</f>
        <v>-2610000</v>
      </c>
      <c r="AU9" s="16">
        <f>Realizado!AU9-Orçado!AU9</f>
        <v>-2655000</v>
      </c>
      <c r="AV9" s="16">
        <f>Realizado!AV9-Orçado!AV9</f>
        <v>-2700000</v>
      </c>
      <c r="AW9" s="16">
        <f>Realizado!AW9-Orçado!AW9</f>
        <v>-2700000</v>
      </c>
      <c r="AX9" s="16">
        <f>Realizado!AX9-Orçado!AX9</f>
        <v>-2700000</v>
      </c>
      <c r="AY9" s="16">
        <f>Realizado!AY9-Orçado!AY9</f>
        <v>-2700000</v>
      </c>
      <c r="AZ9" s="16">
        <f>Realizado!AZ9-Orçado!AZ9</f>
        <v>-2700000</v>
      </c>
    </row>
    <row r="10" spans="1:53" x14ac:dyDescent="0.2">
      <c r="A10" s="5" t="s">
        <v>156</v>
      </c>
      <c r="B10" s="17">
        <f>Realizado!B10-Orçado!B10</f>
        <v>0</v>
      </c>
      <c r="C10" s="17">
        <f>Realizado!C10-Orçado!C10</f>
        <v>0</v>
      </c>
      <c r="D10" s="17">
        <f>Realizado!D10-Orçado!D10</f>
        <v>0</v>
      </c>
      <c r="E10" s="17">
        <f>Realizado!E10-Orçado!E10</f>
        <v>0</v>
      </c>
      <c r="F10" s="17">
        <f>Realizado!F10-Orçado!F10</f>
        <v>0</v>
      </c>
      <c r="G10" s="17">
        <f>Realizado!G10-Orçado!G10</f>
        <v>0</v>
      </c>
      <c r="H10" s="17">
        <f>Realizado!H10-Orçado!H10</f>
        <v>0</v>
      </c>
      <c r="I10" s="17">
        <f>Realizado!I10-Orçado!I10</f>
        <v>0</v>
      </c>
      <c r="J10" s="17">
        <f>Realizado!J10-Orçado!J10</f>
        <v>0</v>
      </c>
      <c r="K10" s="17">
        <f>Realizado!K10-Orçado!K10</f>
        <v>0</v>
      </c>
      <c r="L10" s="17">
        <f>Realizado!L10-Orçado!L10</f>
        <v>0</v>
      </c>
      <c r="M10" s="17">
        <f>Realizado!M10-Orçado!M10</f>
        <v>0</v>
      </c>
      <c r="N10" s="17">
        <f>Realizado!N10-Orçado!N10</f>
        <v>-49437.5</v>
      </c>
      <c r="O10" s="17">
        <f>Realizado!O10-Orçado!O10</f>
        <v>-53675</v>
      </c>
      <c r="P10" s="17">
        <f>Realizado!P10-Orçado!P10</f>
        <v>-56500</v>
      </c>
      <c r="Q10" s="17">
        <f>Realizado!Q10-Orçado!Q10</f>
        <v>-62150</v>
      </c>
      <c r="R10" s="17">
        <f>Realizado!R10-Orçado!R10</f>
        <v>-67800</v>
      </c>
      <c r="S10" s="17">
        <f>Realizado!S10-Orçado!S10</f>
        <v>-73450</v>
      </c>
      <c r="T10" s="17">
        <f>Realizado!T10-Orçado!T10</f>
        <v>-79100</v>
      </c>
      <c r="U10" s="17">
        <f>Realizado!U10-Orçado!U10</f>
        <v>-84750</v>
      </c>
      <c r="V10" s="17">
        <f>Realizado!V10-Orçado!V10</f>
        <v>-90400</v>
      </c>
      <c r="W10" s="17">
        <f>Realizado!W10-Orçado!W10</f>
        <v>-94637.5</v>
      </c>
      <c r="X10" s="17">
        <f>Realizado!X10-Orçado!X10</f>
        <v>-98875</v>
      </c>
      <c r="Y10" s="17">
        <f>Realizado!Y10-Orçado!Y10</f>
        <v>-103112.5</v>
      </c>
      <c r="Z10" s="17">
        <f>Realizado!Z10-Orçado!Z10</f>
        <v>-106785</v>
      </c>
      <c r="AA10" s="17">
        <f>Realizado!AA10-Orçado!AA10</f>
        <v>-110175</v>
      </c>
      <c r="AB10" s="17">
        <f>Realizado!AB10-Orçado!AB10</f>
        <v>-113000</v>
      </c>
      <c r="AC10" s="17">
        <f>Realizado!AC10-Orçado!AC10</f>
        <v>-115825</v>
      </c>
      <c r="AD10" s="17">
        <f>Realizado!AD10-Orçado!AD10</f>
        <v>-118650</v>
      </c>
      <c r="AE10" s="17">
        <f>Realizado!AE10-Orçado!AE10</f>
        <v>-121475</v>
      </c>
      <c r="AF10" s="17">
        <f>Realizado!AF10-Orçado!AF10</f>
        <v>-124300</v>
      </c>
      <c r="AG10" s="17">
        <f>Realizado!AG10-Orçado!AG10</f>
        <v>-127125</v>
      </c>
      <c r="AH10" s="17">
        <f>Realizado!AH10-Orçado!AH10</f>
        <v>-129950</v>
      </c>
      <c r="AI10" s="17">
        <f>Realizado!AI10-Orçado!AI10</f>
        <v>-132775</v>
      </c>
      <c r="AJ10" s="17">
        <f>Realizado!AJ10-Orçado!AJ10</f>
        <v>-135600</v>
      </c>
      <c r="AK10" s="17">
        <f>Realizado!AK10-Orçado!AK10</f>
        <v>-138425</v>
      </c>
      <c r="AL10" s="17">
        <f>Realizado!AL10-Orçado!AL10</f>
        <v>-141250</v>
      </c>
      <c r="AM10" s="17">
        <f>Realizado!AM10-Orçado!AM10</f>
        <v>-144075</v>
      </c>
      <c r="AN10" s="17">
        <f>Realizado!AN10-Orçado!AN10</f>
        <v>-146900</v>
      </c>
      <c r="AO10" s="17">
        <f>Realizado!AO10-Orçado!AO10</f>
        <v>-149725</v>
      </c>
      <c r="AP10" s="17">
        <f>Realizado!AP10-Orçado!AP10</f>
        <v>-152550</v>
      </c>
      <c r="AQ10" s="17">
        <f>Realizado!AQ10-Orçado!AQ10</f>
        <v>-155375</v>
      </c>
      <c r="AR10" s="17">
        <f>Realizado!AR10-Orçado!AR10</f>
        <v>-158200</v>
      </c>
      <c r="AS10" s="17">
        <f>Realizado!AS10-Orçado!AS10</f>
        <v>-161025</v>
      </c>
      <c r="AT10" s="17">
        <f>Realizado!AT10-Orçado!AT10</f>
        <v>-163850</v>
      </c>
      <c r="AU10" s="17">
        <f>Realizado!AU10-Orçado!AU10</f>
        <v>-166675</v>
      </c>
      <c r="AV10" s="17">
        <f>Realizado!AV10-Orçado!AV10</f>
        <v>-169500</v>
      </c>
      <c r="AW10" s="17">
        <f>Realizado!AW10-Orçado!AW10</f>
        <v>-169500</v>
      </c>
      <c r="AX10" s="17">
        <f>Realizado!AX10-Orçado!AX10</f>
        <v>-169500</v>
      </c>
      <c r="AY10" s="17">
        <f>Realizado!AY10-Orçado!AY10</f>
        <v>-169500</v>
      </c>
      <c r="AZ10" s="17">
        <f>Realizado!AZ10-Orçado!AZ10</f>
        <v>-169500</v>
      </c>
    </row>
    <row r="11" spans="1:53" x14ac:dyDescent="0.2">
      <c r="A11" s="9" t="s">
        <v>157</v>
      </c>
      <c r="B11" s="16">
        <f>Realizado!B11-Orçado!B11</f>
        <v>0</v>
      </c>
      <c r="C11" s="16">
        <f>Realizado!C11-Orçado!C11</f>
        <v>0</v>
      </c>
      <c r="D11" s="16">
        <f>Realizado!D11-Orçado!D11</f>
        <v>0</v>
      </c>
      <c r="E11" s="16">
        <f>Realizado!E11-Orçado!E11</f>
        <v>0</v>
      </c>
      <c r="F11" s="16">
        <f>Realizado!F11-Orçado!F11</f>
        <v>0</v>
      </c>
      <c r="G11" s="16">
        <f>Realizado!G11-Orçado!G11</f>
        <v>0</v>
      </c>
      <c r="H11" s="16">
        <f>Realizado!H11-Orçado!H11</f>
        <v>0</v>
      </c>
      <c r="I11" s="16">
        <f>Realizado!I11-Orçado!I11</f>
        <v>0</v>
      </c>
      <c r="J11" s="16">
        <f>Realizado!J11-Orçado!J11</f>
        <v>0</v>
      </c>
      <c r="K11" s="16">
        <f>Realizado!K11-Orçado!K11</f>
        <v>-480000</v>
      </c>
      <c r="L11" s="16">
        <f>Realizado!L11-Orçado!L11</f>
        <v>-1200000</v>
      </c>
      <c r="M11" s="16">
        <f>Realizado!M11-Orçado!M11</f>
        <v>-1800000</v>
      </c>
      <c r="N11" s="16">
        <f>Realizado!N11-Orçado!N11</f>
        <v>-2100000</v>
      </c>
      <c r="O11" s="16">
        <f>Realizado!O11-Orçado!O11</f>
        <v>-2280000</v>
      </c>
      <c r="P11" s="16">
        <f>Realizado!P11-Orçado!P11</f>
        <v>-2400000</v>
      </c>
      <c r="Q11" s="16">
        <f>Realizado!Q11-Orçado!Q11</f>
        <v>-2640000</v>
      </c>
      <c r="R11" s="16">
        <f>Realizado!R11-Orçado!R11</f>
        <v>-2880000</v>
      </c>
      <c r="S11" s="16">
        <f>Realizado!S11-Orçado!S11</f>
        <v>-3120000</v>
      </c>
      <c r="T11" s="16">
        <f>Realizado!T11-Orçado!T11</f>
        <v>-3360000</v>
      </c>
      <c r="U11" s="16">
        <f>Realizado!U11-Orçado!U11</f>
        <v>-3600000</v>
      </c>
      <c r="V11" s="16">
        <f>Realizado!V11-Orçado!V11</f>
        <v>-3840000</v>
      </c>
      <c r="W11" s="16">
        <f>Realizado!W11-Orçado!W11</f>
        <v>-4020000</v>
      </c>
      <c r="X11" s="16">
        <f>Realizado!X11-Orçado!X11</f>
        <v>-4200000</v>
      </c>
      <c r="Y11" s="16">
        <f>Realizado!Y11-Orçado!Y11</f>
        <v>-4380000</v>
      </c>
      <c r="Z11" s="16">
        <f>Realizado!Z11-Orçado!Z11</f>
        <v>-4536000</v>
      </c>
      <c r="AA11" s="16">
        <f>Realizado!AA11-Orçado!AA11</f>
        <v>-4680000</v>
      </c>
      <c r="AB11" s="16">
        <f>Realizado!AB11-Orçado!AB11</f>
        <v>-4800000</v>
      </c>
      <c r="AC11" s="16">
        <f>Realizado!AC11-Orçado!AC11</f>
        <v>-4920000</v>
      </c>
      <c r="AD11" s="16">
        <f>Realizado!AD11-Orçado!AD11</f>
        <v>-5040000</v>
      </c>
      <c r="AE11" s="16">
        <f>Realizado!AE11-Orçado!AE11</f>
        <v>-5160000</v>
      </c>
      <c r="AF11" s="16">
        <f>Realizado!AF11-Orçado!AF11</f>
        <v>-5280000</v>
      </c>
      <c r="AG11" s="16">
        <f>Realizado!AG11-Orçado!AG11</f>
        <v>-5400000</v>
      </c>
      <c r="AH11" s="16">
        <f>Realizado!AH11-Orçado!AH11</f>
        <v>-5520000</v>
      </c>
      <c r="AI11" s="16">
        <f>Realizado!AI11-Orçado!AI11</f>
        <v>-5640000</v>
      </c>
      <c r="AJ11" s="16">
        <f>Realizado!AJ11-Orçado!AJ11</f>
        <v>-5760000</v>
      </c>
      <c r="AK11" s="16">
        <f>Realizado!AK11-Orçado!AK11</f>
        <v>-5880000</v>
      </c>
      <c r="AL11" s="16">
        <f>Realizado!AL11-Orçado!AL11</f>
        <v>-6000000</v>
      </c>
      <c r="AM11" s="16">
        <f>Realizado!AM11-Orçado!AM11</f>
        <v>-6120000</v>
      </c>
      <c r="AN11" s="16">
        <f>Realizado!AN11-Orçado!AN11</f>
        <v>-6240000</v>
      </c>
      <c r="AO11" s="16">
        <f>Realizado!AO11-Orçado!AO11</f>
        <v>-6360000</v>
      </c>
      <c r="AP11" s="16">
        <f>Realizado!AP11-Orçado!AP11</f>
        <v>-6480000</v>
      </c>
      <c r="AQ11" s="16">
        <f>Realizado!AQ11-Orçado!AQ11</f>
        <v>-6600000</v>
      </c>
      <c r="AR11" s="16">
        <f>Realizado!AR11-Orçado!AR11</f>
        <v>-6720000</v>
      </c>
      <c r="AS11" s="16">
        <f>Realizado!AS11-Orçado!AS11</f>
        <v>-6840000</v>
      </c>
      <c r="AT11" s="16">
        <f>Realizado!AT11-Orçado!AT11</f>
        <v>-6960000</v>
      </c>
      <c r="AU11" s="16">
        <f>Realizado!AU11-Orçado!AU11</f>
        <v>-7080000</v>
      </c>
      <c r="AV11" s="16">
        <f>Realizado!AV11-Orçado!AV11</f>
        <v>-7200000</v>
      </c>
      <c r="AW11" s="16">
        <f>Realizado!AW11-Orçado!AW11</f>
        <v>-7200000</v>
      </c>
      <c r="AX11" s="16">
        <f>Realizado!AX11-Orçado!AX11</f>
        <v>-7200000</v>
      </c>
      <c r="AY11" s="16">
        <f>Realizado!AY11-Orçado!AY11</f>
        <v>-7200000</v>
      </c>
      <c r="AZ11" s="16">
        <f>Realizado!AZ11-Orçado!AZ11</f>
        <v>-7200000</v>
      </c>
    </row>
    <row r="12" spans="1:53" x14ac:dyDescent="0.2">
      <c r="A12" s="18" t="s">
        <v>158</v>
      </c>
      <c r="B12" s="19">
        <f>Realizado!B12-Orçado!B12</f>
        <v>-80</v>
      </c>
      <c r="C12" s="19">
        <f>Realizado!C12-Orçado!C12</f>
        <v>-400</v>
      </c>
      <c r="D12" s="19">
        <f>Realizado!D12-Orçado!D12</f>
        <v>-800</v>
      </c>
      <c r="E12" s="19">
        <f>Realizado!E12-Orçado!E12</f>
        <v>-1159.97</v>
      </c>
      <c r="F12" s="19">
        <f>Realizado!F12-Orçado!F12</f>
        <v>-1715</v>
      </c>
      <c r="G12" s="19">
        <f>Realizado!G12-Orçado!G12</f>
        <v>-6250</v>
      </c>
      <c r="H12" s="19">
        <f>Realizado!H12-Orçado!H12</f>
        <v>-25500</v>
      </c>
      <c r="I12" s="19">
        <f>Realizado!I12-Orçado!I12</f>
        <v>-85000</v>
      </c>
      <c r="J12" s="19">
        <f>Realizado!J12-Orçado!J12</f>
        <v>-170000</v>
      </c>
      <c r="K12" s="19">
        <f>Realizado!K12-Orçado!K12</f>
        <v>-823980</v>
      </c>
      <c r="L12" s="19">
        <f>Realizado!L12-Orçado!L12</f>
        <v>-2059950</v>
      </c>
      <c r="M12" s="19">
        <f>Realizado!M12-Orçado!M12</f>
        <v>-3089925</v>
      </c>
      <c r="N12" s="19">
        <f>Realizado!N12-Orçado!N12</f>
        <v>-3654350</v>
      </c>
      <c r="O12" s="19">
        <f>Realizado!O12-Orçado!O12</f>
        <v>-3967580</v>
      </c>
      <c r="P12" s="19">
        <f>Realizado!P12-Orçado!P12</f>
        <v>-4176400</v>
      </c>
      <c r="Q12" s="19">
        <f>Realizado!Q12-Orçado!Q12</f>
        <v>-4594040</v>
      </c>
      <c r="R12" s="19">
        <f>Realizado!R12-Orçado!R12</f>
        <v>-5011680</v>
      </c>
      <c r="S12" s="19">
        <f>Realizado!S12-Orçado!S12</f>
        <v>-5429320</v>
      </c>
      <c r="T12" s="19">
        <f>Realizado!T12-Orçado!T12</f>
        <v>-5846960</v>
      </c>
      <c r="U12" s="19">
        <f>Realizado!U12-Orçado!U12</f>
        <v>-6264600</v>
      </c>
      <c r="V12" s="19">
        <f>Realizado!V12-Orçado!V12</f>
        <v>-6682240</v>
      </c>
      <c r="W12" s="19">
        <f>Realizado!W12-Orçado!W12</f>
        <v>-6995470</v>
      </c>
      <c r="X12" s="19">
        <f>Realizado!X12-Orçado!X12</f>
        <v>-7308700</v>
      </c>
      <c r="Y12" s="19">
        <f>Realizado!Y12-Orçado!Y12</f>
        <v>-7621930</v>
      </c>
      <c r="Z12" s="19">
        <f>Realizado!Z12-Orçado!Z12</f>
        <v>-7893396</v>
      </c>
      <c r="AA12" s="19">
        <f>Realizado!AA12-Orçado!AA12</f>
        <v>-8143980</v>
      </c>
      <c r="AB12" s="19">
        <f>Realizado!AB12-Orçado!AB12</f>
        <v>-8352800</v>
      </c>
      <c r="AC12" s="19">
        <f>Realizado!AC12-Orçado!AC12</f>
        <v>-8561620</v>
      </c>
      <c r="AD12" s="19">
        <f>Realizado!AD12-Orçado!AD12</f>
        <v>-8770440</v>
      </c>
      <c r="AE12" s="19">
        <f>Realizado!AE12-Orçado!AE12</f>
        <v>-8979260</v>
      </c>
      <c r="AF12" s="19">
        <f>Realizado!AF12-Orçado!AF12</f>
        <v>-9188080</v>
      </c>
      <c r="AG12" s="19">
        <f>Realizado!AG12-Orçado!AG12</f>
        <v>-9396900</v>
      </c>
      <c r="AH12" s="19">
        <f>Realizado!AH12-Orçado!AH12</f>
        <v>-9605720</v>
      </c>
      <c r="AI12" s="19">
        <f>Realizado!AI12-Orçado!AI12</f>
        <v>-9814540</v>
      </c>
      <c r="AJ12" s="19">
        <f>Realizado!AJ12-Orçado!AJ12</f>
        <v>-10023360</v>
      </c>
      <c r="AK12" s="19">
        <f>Realizado!AK12-Orçado!AK12</f>
        <v>-10232180</v>
      </c>
      <c r="AL12" s="19">
        <f>Realizado!AL12-Orçado!AL12</f>
        <v>-10441000</v>
      </c>
      <c r="AM12" s="19">
        <f>Realizado!AM12-Orçado!AM12</f>
        <v>-10649820</v>
      </c>
      <c r="AN12" s="19">
        <f>Realizado!AN12-Orçado!AN12</f>
        <v>-10858640</v>
      </c>
      <c r="AO12" s="19">
        <f>Realizado!AO12-Orçado!AO12</f>
        <v>-11067460</v>
      </c>
      <c r="AP12" s="19">
        <f>Realizado!AP12-Orçado!AP12</f>
        <v>-11276280</v>
      </c>
      <c r="AQ12" s="19">
        <f>Realizado!AQ12-Orçado!AQ12</f>
        <v>-11485100</v>
      </c>
      <c r="AR12" s="19">
        <f>Realizado!AR12-Orçado!AR12</f>
        <v>-11693920</v>
      </c>
      <c r="AS12" s="19">
        <f>Realizado!AS12-Orçado!AS12</f>
        <v>-11902740</v>
      </c>
      <c r="AT12" s="19">
        <f>Realizado!AT12-Orçado!AT12</f>
        <v>-12111560</v>
      </c>
      <c r="AU12" s="19">
        <f>Realizado!AU12-Orçado!AU12</f>
        <v>-12320380</v>
      </c>
      <c r="AV12" s="19">
        <f>Realizado!AV12-Orçado!AV12</f>
        <v>-12529200</v>
      </c>
      <c r="AW12" s="19">
        <f>Realizado!AW12-Orçado!AW12</f>
        <v>-12529200</v>
      </c>
      <c r="AX12" s="19">
        <f>Realizado!AX12-Orçado!AX12</f>
        <v>-12529200</v>
      </c>
      <c r="AY12" s="19">
        <f>Realizado!AY12-Orçado!AY12</f>
        <v>-12529200</v>
      </c>
      <c r="AZ12" s="19">
        <f>Realizado!AZ12-Orçado!AZ12</f>
        <v>-12529200</v>
      </c>
    </row>
    <row r="13" spans="1:53" x14ac:dyDescent="0.2">
      <c r="A13" s="2" t="s">
        <v>159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</row>
    <row r="14" spans="1:53" x14ac:dyDescent="0.2">
      <c r="A14" s="5" t="s">
        <v>160</v>
      </c>
      <c r="B14" s="17">
        <f>Realizado!B14-Orçado!B14</f>
        <v>-4.8</v>
      </c>
      <c r="C14" s="17">
        <f>Realizado!C14-Orçado!C14</f>
        <v>-24</v>
      </c>
      <c r="D14" s="17">
        <f>Realizado!D14-Orçado!D14</f>
        <v>-48</v>
      </c>
      <c r="E14" s="17">
        <f>Realizado!E14-Orçado!E14</f>
        <v>-69.598199999999991</v>
      </c>
      <c r="F14" s="17">
        <f>Realizado!F14-Orçado!F14</f>
        <v>-102.9</v>
      </c>
      <c r="G14" s="17">
        <f>Realizado!G14-Orçado!G14</f>
        <v>-375</v>
      </c>
      <c r="H14" s="17">
        <f>Realizado!H14-Orçado!H14</f>
        <v>-1530</v>
      </c>
      <c r="I14" s="17">
        <f>Realizado!I14-Orçado!I14</f>
        <v>-5100</v>
      </c>
      <c r="J14" s="17">
        <f>Realizado!J14-Orçado!J14</f>
        <v>-10200</v>
      </c>
      <c r="K14" s="17">
        <f>Realizado!K14-Orçado!K14</f>
        <v>0</v>
      </c>
      <c r="L14" s="17">
        <f>Realizado!L14-Orçado!L14</f>
        <v>0</v>
      </c>
      <c r="M14" s="17">
        <f>Realizado!M14-Orçado!M14</f>
        <v>0</v>
      </c>
      <c r="N14" s="17">
        <f>Realizado!N14-Orçado!N14</f>
        <v>0</v>
      </c>
      <c r="O14" s="17">
        <f>Realizado!O14-Orçado!O14</f>
        <v>0</v>
      </c>
      <c r="P14" s="17">
        <f>Realizado!P14-Orçado!P14</f>
        <v>0</v>
      </c>
      <c r="Q14" s="17">
        <f>Realizado!Q14-Orçado!Q14</f>
        <v>0</v>
      </c>
      <c r="R14" s="17">
        <f>Realizado!R14-Orçado!R14</f>
        <v>0</v>
      </c>
      <c r="S14" s="17">
        <f>Realizado!S14-Orçado!S14</f>
        <v>0</v>
      </c>
      <c r="T14" s="17">
        <f>Realizado!T14-Orçado!T14</f>
        <v>0</v>
      </c>
      <c r="U14" s="17">
        <f>Realizado!U14-Orçado!U14</f>
        <v>0</v>
      </c>
      <c r="V14" s="17">
        <f>Realizado!V14-Orçado!V14</f>
        <v>0</v>
      </c>
      <c r="W14" s="17">
        <f>Realizado!W14-Orçado!W14</f>
        <v>0</v>
      </c>
      <c r="X14" s="17">
        <f>Realizado!X14-Orçado!X14</f>
        <v>0</v>
      </c>
      <c r="Y14" s="17">
        <f>Realizado!Y14-Orçado!Y14</f>
        <v>0</v>
      </c>
      <c r="Z14" s="17">
        <f>Realizado!Z14-Orçado!Z14</f>
        <v>0</v>
      </c>
      <c r="AA14" s="17">
        <f>Realizado!AA14-Orçado!AA14</f>
        <v>0</v>
      </c>
      <c r="AB14" s="17">
        <f>Realizado!AB14-Orçado!AB14</f>
        <v>0</v>
      </c>
      <c r="AC14" s="17">
        <f>Realizado!AC14-Orçado!AC14</f>
        <v>0</v>
      </c>
      <c r="AD14" s="17">
        <f>Realizado!AD14-Orçado!AD14</f>
        <v>0</v>
      </c>
      <c r="AE14" s="17">
        <f>Realizado!AE14-Orçado!AE14</f>
        <v>0</v>
      </c>
      <c r="AF14" s="17">
        <f>Realizado!AF14-Orçado!AF14</f>
        <v>0</v>
      </c>
      <c r="AG14" s="17">
        <f>Realizado!AG14-Orçado!AG14</f>
        <v>0</v>
      </c>
      <c r="AH14" s="17">
        <f>Realizado!AH14-Orçado!AH14</f>
        <v>0</v>
      </c>
      <c r="AI14" s="17">
        <f>Realizado!AI14-Orçado!AI14</f>
        <v>0</v>
      </c>
      <c r="AJ14" s="17">
        <f>Realizado!AJ14-Orçado!AJ14</f>
        <v>0</v>
      </c>
      <c r="AK14" s="17">
        <f>Realizado!AK14-Orçado!AK14</f>
        <v>0</v>
      </c>
      <c r="AL14" s="17">
        <f>Realizado!AL14-Orçado!AL14</f>
        <v>0</v>
      </c>
      <c r="AM14" s="17">
        <f>Realizado!AM14-Orçado!AM14</f>
        <v>0</v>
      </c>
      <c r="AN14" s="17">
        <f>Realizado!AN14-Orçado!AN14</f>
        <v>0</v>
      </c>
      <c r="AO14" s="17">
        <f>Realizado!AO14-Orçado!AO14</f>
        <v>0</v>
      </c>
      <c r="AP14" s="17">
        <f>Realizado!AP14-Orçado!AP14</f>
        <v>0</v>
      </c>
      <c r="AQ14" s="17">
        <f>Realizado!AQ14-Orçado!AQ14</f>
        <v>0</v>
      </c>
      <c r="AR14" s="17">
        <f>Realizado!AR14-Orçado!AR14</f>
        <v>0</v>
      </c>
      <c r="AS14" s="17">
        <f>Realizado!AS14-Orçado!AS14</f>
        <v>0</v>
      </c>
      <c r="AT14" s="17">
        <f>Realizado!AT14-Orçado!AT14</f>
        <v>0</v>
      </c>
      <c r="AU14" s="17">
        <f>Realizado!AU14-Orçado!AU14</f>
        <v>0</v>
      </c>
      <c r="AV14" s="17">
        <f>Realizado!AV14-Orçado!AV14</f>
        <v>0</v>
      </c>
      <c r="AW14" s="17">
        <f>Realizado!AW14-Orçado!AW14</f>
        <v>0</v>
      </c>
      <c r="AX14" s="17">
        <f>Realizado!AX14-Orçado!AX14</f>
        <v>0</v>
      </c>
      <c r="AY14" s="17">
        <f>Realizado!AY14-Orçado!AY14</f>
        <v>0</v>
      </c>
      <c r="AZ14" s="17">
        <f>Realizado!AZ14-Orçado!AZ14</f>
        <v>0</v>
      </c>
    </row>
    <row r="15" spans="1:53" x14ac:dyDescent="0.2">
      <c r="A15" s="18" t="s">
        <v>161</v>
      </c>
      <c r="B15" s="19">
        <f>Realizado!B15-Orçado!B15</f>
        <v>-75.2</v>
      </c>
      <c r="C15" s="19">
        <f>Realizado!C15-Orçado!C15</f>
        <v>-376</v>
      </c>
      <c r="D15" s="19">
        <f>Realizado!D15-Orçado!D15</f>
        <v>-752</v>
      </c>
      <c r="E15" s="19">
        <f>Realizado!E15-Orçado!E15</f>
        <v>-1090.3717999999999</v>
      </c>
      <c r="F15" s="19">
        <f>Realizado!F15-Orçado!F15</f>
        <v>-1612.1</v>
      </c>
      <c r="G15" s="19">
        <f>Realizado!G15-Orçado!G15</f>
        <v>-5875</v>
      </c>
      <c r="H15" s="19">
        <f>Realizado!H15-Orçado!H15</f>
        <v>-23970</v>
      </c>
      <c r="I15" s="19">
        <f>Realizado!I15-Orçado!I15</f>
        <v>-79900</v>
      </c>
      <c r="J15" s="19">
        <f>Realizado!J15-Orçado!J15</f>
        <v>-159800</v>
      </c>
      <c r="K15" s="19">
        <f>Realizado!K15-Orçado!K15</f>
        <v>-823980</v>
      </c>
      <c r="L15" s="19">
        <f>Realizado!L15-Orçado!L15</f>
        <v>-2059950</v>
      </c>
      <c r="M15" s="19">
        <f>Realizado!M15-Orçado!M15</f>
        <v>-3089925</v>
      </c>
      <c r="N15" s="19">
        <f>Realizado!N15-Orçado!N15</f>
        <v>-3654350</v>
      </c>
      <c r="O15" s="19">
        <f>Realizado!O15-Orçado!O15</f>
        <v>-3967580</v>
      </c>
      <c r="P15" s="19">
        <f>Realizado!P15-Orçado!P15</f>
        <v>-4176400</v>
      </c>
      <c r="Q15" s="19">
        <f>Realizado!Q15-Orçado!Q15</f>
        <v>-4594040</v>
      </c>
      <c r="R15" s="19">
        <f>Realizado!R15-Orçado!R15</f>
        <v>-5011680</v>
      </c>
      <c r="S15" s="19">
        <f>Realizado!S15-Orçado!S15</f>
        <v>-5429320</v>
      </c>
      <c r="T15" s="19">
        <f>Realizado!T15-Orçado!T15</f>
        <v>-5846960</v>
      </c>
      <c r="U15" s="19">
        <f>Realizado!U15-Orçado!U15</f>
        <v>-6264600</v>
      </c>
      <c r="V15" s="19">
        <f>Realizado!V15-Orçado!V15</f>
        <v>-6682240</v>
      </c>
      <c r="W15" s="19">
        <f>Realizado!W15-Orçado!W15</f>
        <v>-6995470</v>
      </c>
      <c r="X15" s="19">
        <f>Realizado!X15-Orçado!X15</f>
        <v>-7308700</v>
      </c>
      <c r="Y15" s="19">
        <f>Realizado!Y15-Orçado!Y15</f>
        <v>-7621930</v>
      </c>
      <c r="Z15" s="19">
        <f>Realizado!Z15-Orçado!Z15</f>
        <v>-7893396</v>
      </c>
      <c r="AA15" s="19">
        <f>Realizado!AA15-Orçado!AA15</f>
        <v>-8143980</v>
      </c>
      <c r="AB15" s="19">
        <f>Realizado!AB15-Orçado!AB15</f>
        <v>-8352800</v>
      </c>
      <c r="AC15" s="19">
        <f>Realizado!AC15-Orçado!AC15</f>
        <v>-8561620</v>
      </c>
      <c r="AD15" s="19">
        <f>Realizado!AD15-Orçado!AD15</f>
        <v>-8770440</v>
      </c>
      <c r="AE15" s="19">
        <f>Realizado!AE15-Orçado!AE15</f>
        <v>-8979260</v>
      </c>
      <c r="AF15" s="19">
        <f>Realizado!AF15-Orçado!AF15</f>
        <v>-9188080</v>
      </c>
      <c r="AG15" s="19">
        <f>Realizado!AG15-Orçado!AG15</f>
        <v>-9396900</v>
      </c>
      <c r="AH15" s="19">
        <f>Realizado!AH15-Orçado!AH15</f>
        <v>-9605720</v>
      </c>
      <c r="AI15" s="19">
        <f>Realizado!AI15-Orçado!AI15</f>
        <v>-9814540</v>
      </c>
      <c r="AJ15" s="19">
        <f>Realizado!AJ15-Orçado!AJ15</f>
        <v>-10023360</v>
      </c>
      <c r="AK15" s="19">
        <f>Realizado!AK15-Orçado!AK15</f>
        <v>-10232180</v>
      </c>
      <c r="AL15" s="19">
        <f>Realizado!AL15-Orçado!AL15</f>
        <v>-10441000</v>
      </c>
      <c r="AM15" s="19">
        <f>Realizado!AM15-Orçado!AM15</f>
        <v>-10649820</v>
      </c>
      <c r="AN15" s="19">
        <f>Realizado!AN15-Orçado!AN15</f>
        <v>-10858640</v>
      </c>
      <c r="AO15" s="19">
        <f>Realizado!AO15-Orçado!AO15</f>
        <v>-11067460</v>
      </c>
      <c r="AP15" s="19">
        <f>Realizado!AP15-Orçado!AP15</f>
        <v>-11276280</v>
      </c>
      <c r="AQ15" s="19">
        <f>Realizado!AQ15-Orçado!AQ15</f>
        <v>-11485100</v>
      </c>
      <c r="AR15" s="19">
        <f>Realizado!AR15-Orçado!AR15</f>
        <v>-11693920</v>
      </c>
      <c r="AS15" s="19">
        <f>Realizado!AS15-Orçado!AS15</f>
        <v>-11902740</v>
      </c>
      <c r="AT15" s="19">
        <f>Realizado!AT15-Orçado!AT15</f>
        <v>-12111560</v>
      </c>
      <c r="AU15" s="19">
        <f>Realizado!AU15-Orçado!AU15</f>
        <v>-12320380</v>
      </c>
      <c r="AV15" s="19">
        <f>Realizado!AV15-Orçado!AV15</f>
        <v>-12529200</v>
      </c>
      <c r="AW15" s="19">
        <f>Realizado!AW15-Orçado!AW15</f>
        <v>-12529200</v>
      </c>
      <c r="AX15" s="19">
        <f>Realizado!AX15-Orçado!AX15</f>
        <v>-12529200</v>
      </c>
      <c r="AY15" s="19">
        <f>Realizado!AY15-Orçado!AY15</f>
        <v>-12529200</v>
      </c>
      <c r="AZ15" s="19">
        <f>Realizado!AZ15-Orçado!AZ15</f>
        <v>-12529200</v>
      </c>
    </row>
    <row r="16" spans="1:53" x14ac:dyDescent="0.2">
      <c r="A16" s="2" t="s">
        <v>162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</row>
    <row r="17" spans="1:52" x14ac:dyDescent="0.2">
      <c r="A17" s="9" t="s">
        <v>163</v>
      </c>
      <c r="B17" s="16">
        <f>Realizado!B17-Orçado!B17</f>
        <v>-22</v>
      </c>
      <c r="C17" s="16">
        <f>Realizado!C17-Orçado!C17</f>
        <v>-110</v>
      </c>
      <c r="D17" s="16">
        <f>Realizado!D17-Orçado!D17</f>
        <v>-220</v>
      </c>
      <c r="E17" s="16">
        <f>Realizado!E17-Orçado!E17</f>
        <v>-240.9365</v>
      </c>
      <c r="F17" s="16">
        <f>Realizado!F17-Orçado!F17</f>
        <v>-321.12999999999988</v>
      </c>
      <c r="G17" s="16">
        <f>Realizado!G17-Orçado!G17</f>
        <v>-958.75</v>
      </c>
      <c r="H17" s="16">
        <f>Realizado!H17-Orçado!H17</f>
        <v>-3082.5</v>
      </c>
      <c r="I17" s="16">
        <f>Realizado!I17-Orçado!I17</f>
        <v>-10275</v>
      </c>
      <c r="J17" s="16">
        <f>Realizado!J17-Orçado!J17</f>
        <v>-20550</v>
      </c>
      <c r="K17" s="16">
        <f>Realizado!K17-Orçado!K17</f>
        <v>-320900</v>
      </c>
      <c r="L17" s="16">
        <f>Realizado!L17-Orçado!L17</f>
        <v>-802250.00000000023</v>
      </c>
      <c r="M17" s="16">
        <f>Realizado!M17-Orçado!M17</f>
        <v>-1203375</v>
      </c>
      <c r="N17" s="16">
        <f>Realizado!N17-Orçado!N17</f>
        <v>-1229407.814999999</v>
      </c>
      <c r="O17" s="16">
        <f>Realizado!O17-Orçado!O17</f>
        <v>-1334785.6299999999</v>
      </c>
      <c r="P17" s="16">
        <f>Realizado!P17-Orçado!P17</f>
        <v>-1405037.5</v>
      </c>
      <c r="Q17" s="16">
        <f>Realizado!Q17-Orçado!Q17</f>
        <v>-1545541.25</v>
      </c>
      <c r="R17" s="16">
        <f>Realizado!R17-Orçado!R17</f>
        <v>-1686044.9999999991</v>
      </c>
      <c r="S17" s="16">
        <f>Realizado!S17-Orçado!S17</f>
        <v>-1826548.7500000021</v>
      </c>
      <c r="T17" s="16">
        <f>Realizado!T17-Orçado!T17</f>
        <v>-1967052.5</v>
      </c>
      <c r="U17" s="16">
        <f>Realizado!U17-Orçado!U17</f>
        <v>-2107556.25</v>
      </c>
      <c r="V17" s="16">
        <f>Realizado!V17-Orçado!V17</f>
        <v>-2248060</v>
      </c>
      <c r="W17" s="16">
        <f>Realizado!W17-Orçado!W17</f>
        <v>-2353437.8150000009</v>
      </c>
      <c r="X17" s="16">
        <f>Realizado!X17-Orçado!X17</f>
        <v>-2458815.629999999</v>
      </c>
      <c r="Y17" s="16">
        <f>Realizado!Y17-Orçado!Y17</f>
        <v>-2564193.4349999991</v>
      </c>
      <c r="Z17" s="16">
        <f>Realizado!Z17-Orçado!Z17</f>
        <v>-2655520.8800000031</v>
      </c>
      <c r="AA17" s="16">
        <f>Realizado!AA17-Orçado!AA17</f>
        <v>-2739823.129999999</v>
      </c>
      <c r="AB17" s="16">
        <f>Realizado!AB17-Orçado!AB17</f>
        <v>-2810075</v>
      </c>
      <c r="AC17" s="16">
        <f>Realizado!AC17-Orçado!AC17</f>
        <v>-2880326.8800000031</v>
      </c>
      <c r="AD17" s="16">
        <f>Realizado!AD17-Orçado!AD17</f>
        <v>-2950578.75</v>
      </c>
      <c r="AE17" s="16">
        <f>Realizado!AE17-Orçado!AE17</f>
        <v>-3020830.6299999952</v>
      </c>
      <c r="AF17" s="16">
        <f>Realizado!AF17-Orçado!AF17</f>
        <v>-3091082.5</v>
      </c>
      <c r="AG17" s="16">
        <f>Realizado!AG17-Orçado!AG17</f>
        <v>-3161334.3799999952</v>
      </c>
      <c r="AH17" s="16">
        <f>Realizado!AH17-Orçado!AH17</f>
        <v>-3231586.25</v>
      </c>
      <c r="AI17" s="16">
        <f>Realizado!AI17-Orçado!AI17</f>
        <v>-3301838.1300000031</v>
      </c>
      <c r="AJ17" s="16">
        <f>Realizado!AJ17-Orçado!AJ17</f>
        <v>-3372090</v>
      </c>
      <c r="AK17" s="16">
        <f>Realizado!AK17-Orçado!AK17</f>
        <v>-3442341.8800000031</v>
      </c>
      <c r="AL17" s="16">
        <f>Realizado!AL17-Orçado!AL17</f>
        <v>-3512593.75</v>
      </c>
      <c r="AM17" s="16">
        <f>Realizado!AM17-Orçado!AM17</f>
        <v>-3582845.6300000031</v>
      </c>
      <c r="AN17" s="16">
        <f>Realizado!AN17-Orçado!AN17</f>
        <v>-3653097.5</v>
      </c>
      <c r="AO17" s="16">
        <f>Realizado!AO17-Orçado!AO17</f>
        <v>-3723349.3799999952</v>
      </c>
      <c r="AP17" s="16">
        <f>Realizado!AP17-Orçado!AP17</f>
        <v>-3793601.25</v>
      </c>
      <c r="AQ17" s="16">
        <f>Realizado!AQ17-Orçado!AQ17</f>
        <v>-3863853.1299999952</v>
      </c>
      <c r="AR17" s="16">
        <f>Realizado!AR17-Orçado!AR17</f>
        <v>-3934105</v>
      </c>
      <c r="AS17" s="16">
        <f>Realizado!AS17-Orçado!AS17</f>
        <v>-4004356.8800000101</v>
      </c>
      <c r="AT17" s="16">
        <f>Realizado!AT17-Orçado!AT17</f>
        <v>-4074608.75</v>
      </c>
      <c r="AU17" s="16">
        <f>Realizado!AU17-Orçado!AU17</f>
        <v>-4144860.6299999952</v>
      </c>
      <c r="AV17" s="16">
        <f>Realizado!AV17-Orçado!AV17</f>
        <v>-4215112.5</v>
      </c>
      <c r="AW17" s="16">
        <f>Realizado!AW17-Orçado!AW17</f>
        <v>-4215112.5</v>
      </c>
      <c r="AX17" s="16">
        <f>Realizado!AX17-Orçado!AX17</f>
        <v>-4215112.5</v>
      </c>
      <c r="AY17" s="16">
        <f>Realizado!AY17-Orçado!AY17</f>
        <v>-4215112.5</v>
      </c>
      <c r="AZ17" s="16">
        <f>Realizado!AZ17-Orçado!AZ17</f>
        <v>-4215112.5</v>
      </c>
    </row>
    <row r="18" spans="1:52" x14ac:dyDescent="0.2">
      <c r="A18" s="5" t="s">
        <v>164</v>
      </c>
      <c r="B18" s="17">
        <f>Realizado!B18-Orçado!B18</f>
        <v>8</v>
      </c>
      <c r="C18" s="17">
        <f>Realizado!C18-Orçado!C18</f>
        <v>40</v>
      </c>
      <c r="D18" s="17">
        <f>Realizado!D18-Orçado!D18</f>
        <v>80</v>
      </c>
      <c r="E18" s="17">
        <f>Realizado!E18-Orçado!E18</f>
        <v>115.997</v>
      </c>
      <c r="F18" s="17">
        <f>Realizado!F18-Orçado!F18</f>
        <v>171.5</v>
      </c>
      <c r="G18" s="17">
        <f>Realizado!G18-Orçado!G18</f>
        <v>625</v>
      </c>
      <c r="H18" s="17">
        <f>Realizado!H18-Orçado!H18</f>
        <v>2550</v>
      </c>
      <c r="I18" s="17">
        <f>Realizado!I18-Orçado!I18</f>
        <v>8500</v>
      </c>
      <c r="J18" s="17">
        <f>Realizado!J18-Orçado!J18</f>
        <v>17000</v>
      </c>
      <c r="K18" s="17">
        <f>Realizado!K18-Orçado!K18</f>
        <v>82398</v>
      </c>
      <c r="L18" s="17">
        <f>Realizado!L18-Orçado!L18</f>
        <v>205995</v>
      </c>
      <c r="M18" s="17">
        <f>Realizado!M18-Orçado!M18</f>
        <v>308992.5</v>
      </c>
      <c r="N18" s="17">
        <f>Realizado!N18-Orçado!N18</f>
        <v>365435</v>
      </c>
      <c r="O18" s="17">
        <f>Realizado!O18-Orçado!O18</f>
        <v>396758</v>
      </c>
      <c r="P18" s="17">
        <f>Realizado!P18-Orçado!P18</f>
        <v>417640</v>
      </c>
      <c r="Q18" s="17">
        <f>Realizado!Q18-Orçado!Q18</f>
        <v>459404</v>
      </c>
      <c r="R18" s="17">
        <f>Realizado!R18-Orçado!R18</f>
        <v>501168</v>
      </c>
      <c r="S18" s="17">
        <f>Realizado!S18-Orçado!S18</f>
        <v>542932</v>
      </c>
      <c r="T18" s="17">
        <f>Realizado!T18-Orçado!T18</f>
        <v>584696</v>
      </c>
      <c r="U18" s="17">
        <f>Realizado!U18-Orçado!U18</f>
        <v>626460</v>
      </c>
      <c r="V18" s="17">
        <f>Realizado!V18-Orçado!V18</f>
        <v>668224</v>
      </c>
      <c r="W18" s="17">
        <f>Realizado!W18-Orçado!W18</f>
        <v>699547</v>
      </c>
      <c r="X18" s="17">
        <f>Realizado!X18-Orçado!X18</f>
        <v>730870</v>
      </c>
      <c r="Y18" s="17">
        <f>Realizado!Y18-Orçado!Y18</f>
        <v>762193</v>
      </c>
      <c r="Z18" s="17">
        <f>Realizado!Z18-Orçado!Z18</f>
        <v>789339.60000000009</v>
      </c>
      <c r="AA18" s="17">
        <f>Realizado!AA18-Orçado!AA18</f>
        <v>814398</v>
      </c>
      <c r="AB18" s="17">
        <f>Realizado!AB18-Orçado!AB18</f>
        <v>835280</v>
      </c>
      <c r="AC18" s="17">
        <f>Realizado!AC18-Orçado!AC18</f>
        <v>856162</v>
      </c>
      <c r="AD18" s="17">
        <f>Realizado!AD18-Orçado!AD18</f>
        <v>877044</v>
      </c>
      <c r="AE18" s="17">
        <f>Realizado!AE18-Orçado!AE18</f>
        <v>897926</v>
      </c>
      <c r="AF18" s="17">
        <f>Realizado!AF18-Orçado!AF18</f>
        <v>918808</v>
      </c>
      <c r="AG18" s="17">
        <f>Realizado!AG18-Orçado!AG18</f>
        <v>939690</v>
      </c>
      <c r="AH18" s="17">
        <f>Realizado!AH18-Orçado!AH18</f>
        <v>960572</v>
      </c>
      <c r="AI18" s="17">
        <f>Realizado!AI18-Orçado!AI18</f>
        <v>981454</v>
      </c>
      <c r="AJ18" s="17">
        <f>Realizado!AJ18-Orçado!AJ18</f>
        <v>1002336</v>
      </c>
      <c r="AK18" s="17">
        <f>Realizado!AK18-Orçado!AK18</f>
        <v>1023218</v>
      </c>
      <c r="AL18" s="17">
        <f>Realizado!AL18-Orçado!AL18</f>
        <v>1044100</v>
      </c>
      <c r="AM18" s="17">
        <f>Realizado!AM18-Orçado!AM18</f>
        <v>1064982</v>
      </c>
      <c r="AN18" s="17">
        <f>Realizado!AN18-Orçado!AN18</f>
        <v>1085864</v>
      </c>
      <c r="AO18" s="17">
        <f>Realizado!AO18-Orçado!AO18</f>
        <v>1106746</v>
      </c>
      <c r="AP18" s="17">
        <f>Realizado!AP18-Orçado!AP18</f>
        <v>1127628</v>
      </c>
      <c r="AQ18" s="17">
        <f>Realizado!AQ18-Orçado!AQ18</f>
        <v>1148510</v>
      </c>
      <c r="AR18" s="17">
        <f>Realizado!AR18-Orçado!AR18</f>
        <v>1169392</v>
      </c>
      <c r="AS18" s="17">
        <f>Realizado!AS18-Orçado!AS18</f>
        <v>1190274</v>
      </c>
      <c r="AT18" s="17">
        <f>Realizado!AT18-Orçado!AT18</f>
        <v>1211156</v>
      </c>
      <c r="AU18" s="17">
        <f>Realizado!AU18-Orçado!AU18</f>
        <v>1232038</v>
      </c>
      <c r="AV18" s="17">
        <f>Realizado!AV18-Orçado!AV18</f>
        <v>1252920</v>
      </c>
      <c r="AW18" s="17">
        <f>Realizado!AW18-Orçado!AW18</f>
        <v>1252920</v>
      </c>
      <c r="AX18" s="17">
        <f>Realizado!AX18-Orçado!AX18</f>
        <v>1252920</v>
      </c>
      <c r="AY18" s="17">
        <f>Realizado!AY18-Orçado!AY18</f>
        <v>1252920</v>
      </c>
      <c r="AZ18" s="17">
        <f>Realizado!AZ18-Orçado!AZ18</f>
        <v>1252920</v>
      </c>
    </row>
    <row r="19" spans="1:52" x14ac:dyDescent="0.2">
      <c r="A19" s="9" t="s">
        <v>165</v>
      </c>
      <c r="B19" s="16">
        <f>Realizado!B19-Orçado!B19</f>
        <v>0</v>
      </c>
      <c r="C19" s="16">
        <f>Realizado!C19-Orçado!C19</f>
        <v>0</v>
      </c>
      <c r="D19" s="16">
        <f>Realizado!D19-Orçado!D19</f>
        <v>0</v>
      </c>
      <c r="E19" s="16">
        <f>Realizado!E19-Orçado!E19</f>
        <v>-55.98599999999999</v>
      </c>
      <c r="F19" s="16">
        <f>Realizado!F19-Orçado!F19</f>
        <v>-73.499999999999986</v>
      </c>
      <c r="G19" s="16">
        <f>Realizado!G19-Orçado!G19</f>
        <v>-209.99999999999989</v>
      </c>
      <c r="H19" s="16">
        <f>Realizado!H19-Orçado!H19</f>
        <v>-630</v>
      </c>
      <c r="I19" s="16">
        <f>Realizado!I19-Orçado!I19</f>
        <v>-2100</v>
      </c>
      <c r="J19" s="16">
        <f>Realizado!J19-Orçado!J19</f>
        <v>-4199.9999999999991</v>
      </c>
      <c r="K19" s="16">
        <f>Realizado!K19-Orçado!K19</f>
        <v>-8399.9999999999982</v>
      </c>
      <c r="L19" s="16">
        <f>Realizado!L19-Orçado!L19</f>
        <v>-21000</v>
      </c>
      <c r="M19" s="16">
        <f>Realizado!M19-Orçado!M19</f>
        <v>-31499.999999999989</v>
      </c>
      <c r="N19" s="16">
        <f>Realizado!N19-Orçado!N19</f>
        <v>-224875</v>
      </c>
      <c r="O19" s="16">
        <f>Realizado!O19-Orçado!O19</f>
        <v>-244150</v>
      </c>
      <c r="P19" s="16">
        <f>Realizado!P19-Orçado!P19</f>
        <v>-257000</v>
      </c>
      <c r="Q19" s="16">
        <f>Realizado!Q19-Orçado!Q19</f>
        <v>-282699.99999999988</v>
      </c>
      <c r="R19" s="16">
        <f>Realizado!R19-Orçado!R19</f>
        <v>-308399.99999999988</v>
      </c>
      <c r="S19" s="16">
        <f>Realizado!S19-Orçado!S19</f>
        <v>-334099.99999999988</v>
      </c>
      <c r="T19" s="16">
        <f>Realizado!T19-Orçado!T19</f>
        <v>-359799.99999999988</v>
      </c>
      <c r="U19" s="16">
        <f>Realizado!U19-Orçado!U19</f>
        <v>-385499.99999999988</v>
      </c>
      <c r="V19" s="16">
        <f>Realizado!V19-Orçado!V19</f>
        <v>-411199.99999999988</v>
      </c>
      <c r="W19" s="16">
        <f>Realizado!W19-Orçado!W19</f>
        <v>-430474.99999999988</v>
      </c>
      <c r="X19" s="16">
        <f>Realizado!X19-Orçado!X19</f>
        <v>-449750</v>
      </c>
      <c r="Y19" s="16">
        <f>Realizado!Y19-Orçado!Y19</f>
        <v>-469025</v>
      </c>
      <c r="Z19" s="16">
        <f>Realizado!Z19-Orçado!Z19</f>
        <v>-485730</v>
      </c>
      <c r="AA19" s="16">
        <f>Realizado!AA19-Orçado!AA19</f>
        <v>-501150</v>
      </c>
      <c r="AB19" s="16">
        <f>Realizado!AB19-Orçado!AB19</f>
        <v>-514000</v>
      </c>
      <c r="AC19" s="16">
        <f>Realizado!AC19-Orçado!AC19</f>
        <v>-526850</v>
      </c>
      <c r="AD19" s="16">
        <f>Realizado!AD19-Orçado!AD19</f>
        <v>-539700</v>
      </c>
      <c r="AE19" s="16">
        <f>Realizado!AE19-Orçado!AE19</f>
        <v>-552550</v>
      </c>
      <c r="AF19" s="16">
        <f>Realizado!AF19-Orçado!AF19</f>
        <v>-565399.99999999988</v>
      </c>
      <c r="AG19" s="16">
        <f>Realizado!AG19-Orçado!AG19</f>
        <v>-578249.99999999988</v>
      </c>
      <c r="AH19" s="16">
        <f>Realizado!AH19-Orçado!AH19</f>
        <v>-591099.99999999988</v>
      </c>
      <c r="AI19" s="16">
        <f>Realizado!AI19-Orçado!AI19</f>
        <v>-603949.99999999988</v>
      </c>
      <c r="AJ19" s="16">
        <f>Realizado!AJ19-Orçado!AJ19</f>
        <v>-616799.99999999988</v>
      </c>
      <c r="AK19" s="16">
        <f>Realizado!AK19-Orçado!AK19</f>
        <v>-629650</v>
      </c>
      <c r="AL19" s="16">
        <f>Realizado!AL19-Orçado!AL19</f>
        <v>-642499.99999999988</v>
      </c>
      <c r="AM19" s="16">
        <f>Realizado!AM19-Orçado!AM19</f>
        <v>-655349.99999999988</v>
      </c>
      <c r="AN19" s="16">
        <f>Realizado!AN19-Orçado!AN19</f>
        <v>-668199.99999999988</v>
      </c>
      <c r="AO19" s="16">
        <f>Realizado!AO19-Orçado!AO19</f>
        <v>-681049.99999999988</v>
      </c>
      <c r="AP19" s="16">
        <f>Realizado!AP19-Orçado!AP19</f>
        <v>-693899.99999999988</v>
      </c>
      <c r="AQ19" s="16">
        <f>Realizado!AQ19-Orçado!AQ19</f>
        <v>-706749.99999999988</v>
      </c>
      <c r="AR19" s="16">
        <f>Realizado!AR19-Orçado!AR19</f>
        <v>-719599.99999999988</v>
      </c>
      <c r="AS19" s="16">
        <f>Realizado!AS19-Orçado!AS19</f>
        <v>-732449.99999999988</v>
      </c>
      <c r="AT19" s="16">
        <f>Realizado!AT19-Orçado!AT19</f>
        <v>-745299.99999999988</v>
      </c>
      <c r="AU19" s="16">
        <f>Realizado!AU19-Orçado!AU19</f>
        <v>-758149.99999999988</v>
      </c>
      <c r="AV19" s="16">
        <f>Realizado!AV19-Orçado!AV19</f>
        <v>-770999.99999999988</v>
      </c>
      <c r="AW19" s="16">
        <f>Realizado!AW19-Orçado!AW19</f>
        <v>-770999.99999999988</v>
      </c>
      <c r="AX19" s="16">
        <f>Realizado!AX19-Orçado!AX19</f>
        <v>-770999.99999999988</v>
      </c>
      <c r="AY19" s="16">
        <f>Realizado!AY19-Orçado!AY19</f>
        <v>-770999.99999999988</v>
      </c>
      <c r="AZ19" s="16">
        <f>Realizado!AZ19-Orçado!AZ19</f>
        <v>-770999.99999999988</v>
      </c>
    </row>
    <row r="20" spans="1:52" x14ac:dyDescent="0.2">
      <c r="A20" s="18" t="s">
        <v>166</v>
      </c>
      <c r="B20" s="19">
        <f>Realizado!B20-Orçado!B20</f>
        <v>-45.2</v>
      </c>
      <c r="C20" s="19">
        <f>Realizado!C20-Orçado!C20</f>
        <v>-226</v>
      </c>
      <c r="D20" s="19">
        <f>Realizado!D20-Orçado!D20</f>
        <v>-452</v>
      </c>
      <c r="E20" s="19">
        <f>Realizado!E20-Orçado!E20</f>
        <v>-789.42430000000002</v>
      </c>
      <c r="F20" s="19">
        <f>Realizado!F20-Orçado!F20</f>
        <v>-1192.97</v>
      </c>
      <c r="G20" s="19">
        <f>Realizado!G20-Orçado!G20</f>
        <v>-4501.25</v>
      </c>
      <c r="H20" s="19">
        <f>Realizado!H20-Orçado!H20</f>
        <v>-18967.5</v>
      </c>
      <c r="I20" s="19">
        <f>Realizado!I20-Orçado!I20</f>
        <v>-63225</v>
      </c>
      <c r="J20" s="19">
        <f>Realizado!J20-Orçado!J20</f>
        <v>-126450</v>
      </c>
      <c r="K20" s="19">
        <f>Realizado!K20-Orçado!K20</f>
        <v>-429082</v>
      </c>
      <c r="L20" s="19">
        <f>Realizado!L20-Orçado!L20</f>
        <v>-1072705</v>
      </c>
      <c r="M20" s="19">
        <f>Realizado!M20-Orçado!M20</f>
        <v>-1609057.5</v>
      </c>
      <c r="N20" s="19">
        <f>Realizado!N20-Orçado!N20</f>
        <v>-2284382.185000001</v>
      </c>
      <c r="O20" s="19">
        <f>Realizado!O20-Orçado!O20</f>
        <v>-2480186.37</v>
      </c>
      <c r="P20" s="19">
        <f>Realizado!P20-Orçado!P20</f>
        <v>-2610722.5</v>
      </c>
      <c r="Q20" s="19">
        <f>Realizado!Q20-Orçado!Q20</f>
        <v>-2871794.75</v>
      </c>
      <c r="R20" s="19">
        <f>Realizado!R20-Orçado!R20</f>
        <v>-3132867.0000000009</v>
      </c>
      <c r="S20" s="19">
        <f>Realizado!S20-Orçado!S20</f>
        <v>-3393939.2499999981</v>
      </c>
      <c r="T20" s="19">
        <f>Realizado!T20-Orçado!T20</f>
        <v>-3655011.5</v>
      </c>
      <c r="U20" s="19">
        <f>Realizado!U20-Orçado!U20</f>
        <v>-3916083.75</v>
      </c>
      <c r="V20" s="19">
        <f>Realizado!V20-Orçado!V20</f>
        <v>-4177156</v>
      </c>
      <c r="W20" s="19">
        <f>Realizado!W20-Orçado!W20</f>
        <v>-4372960.1849999987</v>
      </c>
      <c r="X20" s="19">
        <f>Realizado!X20-Orçado!X20</f>
        <v>-4568764.370000001</v>
      </c>
      <c r="Y20" s="19">
        <f>Realizado!Y20-Orçado!Y20</f>
        <v>-4764568.5650000013</v>
      </c>
      <c r="Z20" s="19">
        <f>Realizado!Z20-Orçado!Z20</f>
        <v>-4934265.5199999977</v>
      </c>
      <c r="AA20" s="19">
        <f>Realizado!AA20-Orçado!AA20</f>
        <v>-5090908.870000001</v>
      </c>
      <c r="AB20" s="19">
        <f>Realizado!AB20-Orçado!AB20</f>
        <v>-5221445</v>
      </c>
      <c r="AC20" s="19">
        <f>Realizado!AC20-Orçado!AC20</f>
        <v>-5351981.1199999973</v>
      </c>
      <c r="AD20" s="19">
        <f>Realizado!AD20-Orçado!AD20</f>
        <v>-5482517.25</v>
      </c>
      <c r="AE20" s="19">
        <f>Realizado!AE20-Orçado!AE20</f>
        <v>-5613053.3700000048</v>
      </c>
      <c r="AF20" s="19">
        <f>Realizado!AF20-Orçado!AF20</f>
        <v>-5743589.5</v>
      </c>
      <c r="AG20" s="19">
        <f>Realizado!AG20-Orçado!AG20</f>
        <v>-5874125.6200000048</v>
      </c>
      <c r="AH20" s="19">
        <f>Realizado!AH20-Orçado!AH20</f>
        <v>-6004661.75</v>
      </c>
      <c r="AI20" s="19">
        <f>Realizado!AI20-Orçado!AI20</f>
        <v>-6135197.8699999973</v>
      </c>
      <c r="AJ20" s="19">
        <f>Realizado!AJ20-Orçado!AJ20</f>
        <v>-6265734</v>
      </c>
      <c r="AK20" s="19">
        <f>Realizado!AK20-Orçado!AK20</f>
        <v>-6396270.1199999973</v>
      </c>
      <c r="AL20" s="19">
        <f>Realizado!AL20-Orçado!AL20</f>
        <v>-6526806.25</v>
      </c>
      <c r="AM20" s="19">
        <f>Realizado!AM20-Orçado!AM20</f>
        <v>-6657342.3699999973</v>
      </c>
      <c r="AN20" s="19">
        <f>Realizado!AN20-Orçado!AN20</f>
        <v>-6787878.5</v>
      </c>
      <c r="AO20" s="19">
        <f>Realizado!AO20-Orçado!AO20</f>
        <v>-6918414.6200000048</v>
      </c>
      <c r="AP20" s="19">
        <f>Realizado!AP20-Orçado!AP20</f>
        <v>-7048950.75</v>
      </c>
      <c r="AQ20" s="19">
        <f>Realizado!AQ20-Orçado!AQ20</f>
        <v>-7179486.8700000048</v>
      </c>
      <c r="AR20" s="19">
        <f>Realizado!AR20-Orçado!AR20</f>
        <v>-7310023</v>
      </c>
      <c r="AS20" s="19">
        <f>Realizado!AS20-Orçado!AS20</f>
        <v>-7440559.1199999899</v>
      </c>
      <c r="AT20" s="19">
        <f>Realizado!AT20-Orçado!AT20</f>
        <v>-7571095.25</v>
      </c>
      <c r="AU20" s="19">
        <f>Realizado!AU20-Orçado!AU20</f>
        <v>-7701631.3700000048</v>
      </c>
      <c r="AV20" s="19">
        <f>Realizado!AV20-Orçado!AV20</f>
        <v>-7832167.5</v>
      </c>
      <c r="AW20" s="19">
        <f>Realizado!AW20-Orçado!AW20</f>
        <v>-7832167.5</v>
      </c>
      <c r="AX20" s="19">
        <f>Realizado!AX20-Orçado!AX20</f>
        <v>-7832167.5</v>
      </c>
      <c r="AY20" s="19">
        <f>Realizado!AY20-Orçado!AY20</f>
        <v>-7832167.5</v>
      </c>
      <c r="AZ20" s="19">
        <f>Realizado!AZ20-Orçado!AZ20</f>
        <v>-7832167.5</v>
      </c>
    </row>
    <row r="21" spans="1:52" x14ac:dyDescent="0.2">
      <c r="A21" s="2" t="s">
        <v>167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</row>
    <row r="22" spans="1:52" x14ac:dyDescent="0.2">
      <c r="A22" s="5" t="s">
        <v>168</v>
      </c>
      <c r="B22" s="17">
        <f>Realizado!B22-Orçado!B22</f>
        <v>0</v>
      </c>
      <c r="C22" s="17">
        <f>Realizado!C22-Orçado!C22</f>
        <v>0</v>
      </c>
      <c r="D22" s="17">
        <f>Realizado!D22-Orçado!D22</f>
        <v>0</v>
      </c>
      <c r="E22" s="17">
        <f>Realizado!E22-Orçado!E22</f>
        <v>50000</v>
      </c>
      <c r="F22" s="17">
        <f>Realizado!F22-Orçado!F22</f>
        <v>50000</v>
      </c>
      <c r="G22" s="17">
        <f>Realizado!G22-Orçado!G22</f>
        <v>50000</v>
      </c>
      <c r="H22" s="17">
        <f>Realizado!H22-Orçado!H22</f>
        <v>50000</v>
      </c>
      <c r="I22" s="17">
        <f>Realizado!I22-Orçado!I22</f>
        <v>50000</v>
      </c>
      <c r="J22" s="17">
        <f>Realizado!J22-Orçado!J22</f>
        <v>50000</v>
      </c>
      <c r="K22" s="17">
        <f>Realizado!K22-Orçado!K22</f>
        <v>150000</v>
      </c>
      <c r="L22" s="17">
        <f>Realizado!L22-Orçado!L22</f>
        <v>150000</v>
      </c>
      <c r="M22" s="17">
        <f>Realizado!M22-Orçado!M22</f>
        <v>150000</v>
      </c>
      <c r="N22" s="17">
        <f>Realizado!N22-Orçado!N22</f>
        <v>150000</v>
      </c>
      <c r="O22" s="17">
        <f>Realizado!O22-Orçado!O22</f>
        <v>150000</v>
      </c>
      <c r="P22" s="17">
        <f>Realizado!P22-Orçado!P22</f>
        <v>150000</v>
      </c>
      <c r="Q22" s="17">
        <f>Realizado!Q22-Orçado!Q22</f>
        <v>165000</v>
      </c>
      <c r="R22" s="17">
        <f>Realizado!R22-Orçado!R22</f>
        <v>165000</v>
      </c>
      <c r="S22" s="17">
        <f>Realizado!S22-Orçado!S22</f>
        <v>165000</v>
      </c>
      <c r="T22" s="17">
        <f>Realizado!T22-Orçado!T22</f>
        <v>165000</v>
      </c>
      <c r="U22" s="17">
        <f>Realizado!U22-Orçado!U22</f>
        <v>165000</v>
      </c>
      <c r="V22" s="17">
        <f>Realizado!V22-Orçado!V22</f>
        <v>165000</v>
      </c>
      <c r="W22" s="17">
        <f>Realizado!W22-Orçado!W22</f>
        <v>165000</v>
      </c>
      <c r="X22" s="17">
        <f>Realizado!X22-Orçado!X22</f>
        <v>165000</v>
      </c>
      <c r="Y22" s="17">
        <f>Realizado!Y22-Orçado!Y22</f>
        <v>165000</v>
      </c>
      <c r="Z22" s="17">
        <f>Realizado!Z22-Orçado!Z22</f>
        <v>165000</v>
      </c>
      <c r="AA22" s="17">
        <f>Realizado!AA22-Orçado!AA22</f>
        <v>165000</v>
      </c>
      <c r="AB22" s="17">
        <f>Realizado!AB22-Orçado!AB22</f>
        <v>165000</v>
      </c>
      <c r="AC22" s="17">
        <f>Realizado!AC22-Orçado!AC22</f>
        <v>181500</v>
      </c>
      <c r="AD22" s="17">
        <f>Realizado!AD22-Orçado!AD22</f>
        <v>181500</v>
      </c>
      <c r="AE22" s="17">
        <f>Realizado!AE22-Orçado!AE22</f>
        <v>181500</v>
      </c>
      <c r="AF22" s="17">
        <f>Realizado!AF22-Orçado!AF22</f>
        <v>181500</v>
      </c>
      <c r="AG22" s="17">
        <f>Realizado!AG22-Orçado!AG22</f>
        <v>181500</v>
      </c>
      <c r="AH22" s="17">
        <f>Realizado!AH22-Orçado!AH22</f>
        <v>181500</v>
      </c>
      <c r="AI22" s="17">
        <f>Realizado!AI22-Orçado!AI22</f>
        <v>181500</v>
      </c>
      <c r="AJ22" s="17">
        <f>Realizado!AJ22-Orçado!AJ22</f>
        <v>181500</v>
      </c>
      <c r="AK22" s="17">
        <f>Realizado!AK22-Orçado!AK22</f>
        <v>181500</v>
      </c>
      <c r="AL22" s="17">
        <f>Realizado!AL22-Orçado!AL22</f>
        <v>181500</v>
      </c>
      <c r="AM22" s="17">
        <f>Realizado!AM22-Orçado!AM22</f>
        <v>181500</v>
      </c>
      <c r="AN22" s="17">
        <f>Realizado!AN22-Orçado!AN22</f>
        <v>181500</v>
      </c>
      <c r="AO22" s="17">
        <f>Realizado!AO22-Orçado!AO22</f>
        <v>199650</v>
      </c>
      <c r="AP22" s="17">
        <f>Realizado!AP22-Orçado!AP22</f>
        <v>199650</v>
      </c>
      <c r="AQ22" s="17">
        <f>Realizado!AQ22-Orçado!AQ22</f>
        <v>199650</v>
      </c>
      <c r="AR22" s="17">
        <f>Realizado!AR22-Orçado!AR22</f>
        <v>199650</v>
      </c>
      <c r="AS22" s="17">
        <f>Realizado!AS22-Orçado!AS22</f>
        <v>199650</v>
      </c>
      <c r="AT22" s="17">
        <f>Realizado!AT22-Orçado!AT22</f>
        <v>199650</v>
      </c>
      <c r="AU22" s="17">
        <f>Realizado!AU22-Orçado!AU22</f>
        <v>199650</v>
      </c>
      <c r="AV22" s="17">
        <f>Realizado!AV22-Orçado!AV22</f>
        <v>199650</v>
      </c>
      <c r="AW22" s="17">
        <f>Realizado!AW22-Orçado!AW22</f>
        <v>199650</v>
      </c>
      <c r="AX22" s="17">
        <f>Realizado!AX22-Orçado!AX22</f>
        <v>199650</v>
      </c>
      <c r="AY22" s="17">
        <f>Realizado!AY22-Orçado!AY22</f>
        <v>199650</v>
      </c>
      <c r="AZ22" s="17">
        <f>Realizado!AZ22-Orçado!AZ22</f>
        <v>199650</v>
      </c>
    </row>
    <row r="23" spans="1:52" x14ac:dyDescent="0.2">
      <c r="A23" s="9" t="s">
        <v>169</v>
      </c>
      <c r="B23" s="16">
        <f>Realizado!B23-Orçado!B23</f>
        <v>71.72</v>
      </c>
      <c r="C23" s="16">
        <f>Realizado!C23-Orçado!C23</f>
        <v>251</v>
      </c>
      <c r="D23" s="16">
        <f>Realizado!D23-Orçado!D23</f>
        <v>605.18999999999994</v>
      </c>
      <c r="E23" s="16">
        <f>Realizado!E23-Orçado!E23</f>
        <v>885.06999999999994</v>
      </c>
      <c r="F23" s="16">
        <f>Realizado!F23-Orçado!F23</f>
        <v>1105.78</v>
      </c>
      <c r="G23" s="16">
        <f>Realizado!G23-Orçado!G23</f>
        <v>1295.19</v>
      </c>
      <c r="H23" s="16">
        <f>Realizado!H23-Orçado!H23</f>
        <v>1381.83</v>
      </c>
      <c r="I23" s="16">
        <f>Realizado!I23-Orçado!I23</f>
        <v>1464.28</v>
      </c>
      <c r="J23" s="16">
        <f>Realizado!J23-Orçado!J23</f>
        <v>1543.1</v>
      </c>
      <c r="K23" s="16">
        <f>Realizado!K23-Orçado!K23</f>
        <v>1618.79</v>
      </c>
      <c r="L23" s="16">
        <f>Realizado!L23-Orçado!L23</f>
        <v>1762.1</v>
      </c>
      <c r="M23" s="16">
        <f>Realizado!M23-Orçado!M23</f>
        <v>1896.53</v>
      </c>
      <c r="N23" s="16">
        <f>Realizado!N23-Orçado!N23</f>
        <v>2023.65</v>
      </c>
      <c r="O23" s="16">
        <f>Realizado!O23-Orçado!O23</f>
        <v>2144.58</v>
      </c>
      <c r="P23" s="16">
        <f>Realizado!P23-Orçado!P23</f>
        <v>2177.21</v>
      </c>
      <c r="Q23" s="16">
        <f>Realizado!Q23-Orçado!Q23</f>
        <v>2209.44</v>
      </c>
      <c r="R23" s="16">
        <f>Realizado!R23-Orçado!R23</f>
        <v>2241.2600000000002</v>
      </c>
      <c r="S23" s="16">
        <f>Realizado!S23-Orçado!S23</f>
        <v>2272.75</v>
      </c>
      <c r="T23" s="16">
        <f>Realizado!T23-Orçado!T23</f>
        <v>2303.9</v>
      </c>
      <c r="U23" s="16">
        <f>Realizado!U23-Orçado!U23</f>
        <v>2334.6799999999998</v>
      </c>
      <c r="V23" s="16">
        <f>Realizado!V23-Orçado!V23</f>
        <v>2365.17</v>
      </c>
      <c r="W23" s="16">
        <f>Realizado!W23-Orçado!W23</f>
        <v>2395.31</v>
      </c>
      <c r="X23" s="16">
        <f>Realizado!X23-Orçado!X23</f>
        <v>2425.1999999999998</v>
      </c>
      <c r="Y23" s="16">
        <f>Realizado!Y23-Orçado!Y23</f>
        <v>2454.7600000000002</v>
      </c>
      <c r="Z23" s="16">
        <f>Realizado!Z23-Orçado!Z23</f>
        <v>2484.02</v>
      </c>
      <c r="AA23" s="16">
        <f>Realizado!AA23-Orçado!AA23</f>
        <v>2513.02</v>
      </c>
      <c r="AB23" s="16">
        <f>Realizado!AB23-Orçado!AB23</f>
        <v>2541.7399999999998</v>
      </c>
      <c r="AC23" s="16">
        <f>Realizado!AC23-Orçado!AC23</f>
        <v>2570.2199999999998</v>
      </c>
      <c r="AD23" s="16">
        <f>Realizado!AD23-Orçado!AD23</f>
        <v>2598.4499999999998</v>
      </c>
      <c r="AE23" s="16">
        <f>Realizado!AE23-Orçado!AE23</f>
        <v>2626.41</v>
      </c>
      <c r="AF23" s="16">
        <f>Realizado!AF23-Orçado!AF23</f>
        <v>2654.14</v>
      </c>
      <c r="AG23" s="16">
        <f>Realizado!AG23-Orçado!AG23</f>
        <v>2681.66</v>
      </c>
      <c r="AH23" s="16">
        <f>Realizado!AH23-Orçado!AH23</f>
        <v>2708.92</v>
      </c>
      <c r="AI23" s="16">
        <f>Realizado!AI23-Orçado!AI23</f>
        <v>2735.96</v>
      </c>
      <c r="AJ23" s="16">
        <f>Realizado!AJ23-Orçado!AJ23</f>
        <v>2762.81</v>
      </c>
      <c r="AK23" s="16">
        <f>Realizado!AK23-Orçado!AK23</f>
        <v>2789.4299999999989</v>
      </c>
      <c r="AL23" s="16">
        <f>Realizado!AL23-Orçado!AL23</f>
        <v>2815.86</v>
      </c>
      <c r="AM23" s="16">
        <f>Realizado!AM23-Orçado!AM23</f>
        <v>2842.08</v>
      </c>
      <c r="AN23" s="16">
        <f>Realizado!AN23-Orçado!AN23</f>
        <v>2868.11</v>
      </c>
      <c r="AO23" s="16">
        <f>Realizado!AO23-Orçado!AO23</f>
        <v>2893.96</v>
      </c>
      <c r="AP23" s="16">
        <f>Realizado!AP23-Orçado!AP23</f>
        <v>2919.61</v>
      </c>
      <c r="AQ23" s="16">
        <f>Realizado!AQ23-Orçado!AQ23</f>
        <v>2945.1</v>
      </c>
      <c r="AR23" s="16">
        <f>Realizado!AR23-Orçado!AR23</f>
        <v>2970.38</v>
      </c>
      <c r="AS23" s="16">
        <f>Realizado!AS23-Orçado!AS23</f>
        <v>2995.52</v>
      </c>
      <c r="AT23" s="16">
        <f>Realizado!AT23-Orçado!AT23</f>
        <v>3020.46</v>
      </c>
      <c r="AU23" s="16">
        <f>Realizado!AU23-Orçado!AU23</f>
        <v>3045.27</v>
      </c>
      <c r="AV23" s="16">
        <f>Realizado!AV23-Orçado!AV23</f>
        <v>3069.88</v>
      </c>
      <c r="AW23" s="16">
        <f>Realizado!AW23-Orçado!AW23</f>
        <v>3094.37</v>
      </c>
      <c r="AX23" s="16">
        <f>Realizado!AX23-Orçado!AX23</f>
        <v>3118.66</v>
      </c>
      <c r="AY23" s="16">
        <f>Realizado!AY23-Orçado!AY23</f>
        <v>3142.84</v>
      </c>
      <c r="AZ23" s="16">
        <f>Realizado!AZ23-Orçado!AZ23</f>
        <v>114637.37</v>
      </c>
    </row>
    <row r="24" spans="1:52" x14ac:dyDescent="0.2">
      <c r="A24" s="5" t="s">
        <v>170</v>
      </c>
      <c r="B24" s="17">
        <f>Realizado!B24-Orçado!B24</f>
        <v>111.51</v>
      </c>
      <c r="C24" s="17">
        <f>Realizado!C24-Orçado!C24</f>
        <v>595.6</v>
      </c>
      <c r="D24" s="17">
        <f>Realizado!D24-Orçado!D24</f>
        <v>1925.93</v>
      </c>
      <c r="E24" s="17">
        <f>Realizado!E24-Orçado!E24</f>
        <v>3194.47</v>
      </c>
      <c r="F24" s="17">
        <f>Realizado!F24-Orçado!F24</f>
        <v>4295.5599999999986</v>
      </c>
      <c r="G24" s="17">
        <f>Realizado!G24-Orçado!G24</f>
        <v>5300.34</v>
      </c>
      <c r="H24" s="17">
        <f>Realizado!H24-Orçado!H24</f>
        <v>5776.77</v>
      </c>
      <c r="I24" s="17">
        <f>Realizado!I24-Orçado!I24</f>
        <v>6239.16</v>
      </c>
      <c r="J24" s="17">
        <f>Realizado!J24-Orçado!J24</f>
        <v>6689.3</v>
      </c>
      <c r="K24" s="17">
        <f>Realizado!K24-Orçado!K24</f>
        <v>7128.58</v>
      </c>
      <c r="L24" s="17">
        <f>Realizado!L24-Orçado!L24</f>
        <v>7978.92</v>
      </c>
      <c r="M24" s="17">
        <f>Realizado!M24-Orçado!M24</f>
        <v>8797.19</v>
      </c>
      <c r="N24" s="17">
        <f>Realizado!N24-Orçado!N24</f>
        <v>9588.43</v>
      </c>
      <c r="O24" s="17">
        <f>Realizado!O24-Orçado!O24</f>
        <v>10356.41</v>
      </c>
      <c r="P24" s="17">
        <f>Realizado!P24-Orçado!P24</f>
        <v>10566.03</v>
      </c>
      <c r="Q24" s="17">
        <f>Realizado!Q24-Orçado!Q24</f>
        <v>10774.13</v>
      </c>
      <c r="R24" s="17">
        <f>Realizado!R24-Orçado!R24</f>
        <v>10980.76</v>
      </c>
      <c r="S24" s="17">
        <f>Realizado!S24-Orçado!S24</f>
        <v>11186</v>
      </c>
      <c r="T24" s="17">
        <f>Realizado!T24-Orçado!T24</f>
        <v>11389.83</v>
      </c>
      <c r="U24" s="17">
        <f>Realizado!U24-Orçado!U24</f>
        <v>11592.36</v>
      </c>
      <c r="V24" s="17">
        <f>Realizado!V24-Orçado!V24</f>
        <v>11793.6</v>
      </c>
      <c r="W24" s="17">
        <f>Realizado!W24-Orçado!W24</f>
        <v>11993.58</v>
      </c>
      <c r="X24" s="17">
        <f>Realizado!X24-Orçado!X24</f>
        <v>12192.38</v>
      </c>
      <c r="Y24" s="17">
        <f>Realizado!Y24-Orçado!Y24</f>
        <v>12389.97</v>
      </c>
      <c r="Z24" s="17">
        <f>Realizado!Z24-Orçado!Z24</f>
        <v>12586.42</v>
      </c>
      <c r="AA24" s="17">
        <f>Realizado!AA24-Orçado!AA24</f>
        <v>12781.77</v>
      </c>
      <c r="AB24" s="17">
        <f>Realizado!AB24-Orçado!AB24</f>
        <v>12976.01</v>
      </c>
      <c r="AC24" s="17">
        <f>Realizado!AC24-Orçado!AC24</f>
        <v>13169.19</v>
      </c>
      <c r="AD24" s="17">
        <f>Realizado!AD24-Orçado!AD24</f>
        <v>13361.35</v>
      </c>
      <c r="AE24" s="17">
        <f>Realizado!AE24-Orçado!AE24</f>
        <v>13552.49</v>
      </c>
      <c r="AF24" s="17">
        <f>Realizado!AF24-Orçado!AF24</f>
        <v>13742.68</v>
      </c>
      <c r="AG24" s="17">
        <f>Realizado!AG24-Orçado!AG24</f>
        <v>13931.89</v>
      </c>
      <c r="AH24" s="17">
        <f>Realizado!AH24-Orçado!AH24</f>
        <v>14120.16</v>
      </c>
      <c r="AI24" s="17">
        <f>Realizado!AI24-Orçado!AI24</f>
        <v>14307.54</v>
      </c>
      <c r="AJ24" s="17">
        <f>Realizado!AJ24-Orçado!AJ24</f>
        <v>14494.01</v>
      </c>
      <c r="AK24" s="17">
        <f>Realizado!AK24-Orçado!AK24</f>
        <v>14679.6</v>
      </c>
      <c r="AL24" s="17">
        <f>Realizado!AL24-Orçado!AL24</f>
        <v>14864.34</v>
      </c>
      <c r="AM24" s="17">
        <f>Realizado!AM24-Orçado!AM24</f>
        <v>15048.25</v>
      </c>
      <c r="AN24" s="17">
        <f>Realizado!AN24-Orçado!AN24</f>
        <v>15231.34</v>
      </c>
      <c r="AO24" s="17">
        <f>Realizado!AO24-Orçado!AO24</f>
        <v>15413.64</v>
      </c>
      <c r="AP24" s="17">
        <f>Realizado!AP24-Orçado!AP24</f>
        <v>15595.13</v>
      </c>
      <c r="AQ24" s="17">
        <f>Realizado!AQ24-Orçado!AQ24</f>
        <v>15775.87</v>
      </c>
      <c r="AR24" s="17">
        <f>Realizado!AR24-Orçado!AR24</f>
        <v>15955.86</v>
      </c>
      <c r="AS24" s="17">
        <f>Realizado!AS24-Orçado!AS24</f>
        <v>16135.1</v>
      </c>
      <c r="AT24" s="17">
        <f>Realizado!AT24-Orçado!AT24</f>
        <v>16313.6</v>
      </c>
      <c r="AU24" s="17">
        <f>Realizado!AU24-Orçado!AU24</f>
        <v>16491.400000000001</v>
      </c>
      <c r="AV24" s="17">
        <f>Realizado!AV24-Orçado!AV24</f>
        <v>16668.509999999998</v>
      </c>
      <c r="AW24" s="17">
        <f>Realizado!AW24-Orçado!AW24</f>
        <v>16844.93</v>
      </c>
      <c r="AX24" s="17">
        <f>Realizado!AX24-Orçado!AX24</f>
        <v>17020.68</v>
      </c>
      <c r="AY24" s="17">
        <f>Realizado!AY24-Orçado!AY24</f>
        <v>17195.77</v>
      </c>
      <c r="AZ24" s="17">
        <f>Realizado!AZ24-Orçado!AZ24</f>
        <v>581094.34000000008</v>
      </c>
    </row>
    <row r="25" spans="1:52" x14ac:dyDescent="0.2">
      <c r="A25" s="9" t="s">
        <v>171</v>
      </c>
      <c r="B25" s="16">
        <f>Realizado!B25-Orçado!B25</f>
        <v>84.910000000000011</v>
      </c>
      <c r="C25" s="16">
        <f>Realizado!C25-Orçado!C25</f>
        <v>471.92</v>
      </c>
      <c r="D25" s="16">
        <f>Realizado!D25-Orçado!D25</f>
        <v>1565.4</v>
      </c>
      <c r="E25" s="16">
        <f>Realizado!E25-Orçado!E25</f>
        <v>2623.76</v>
      </c>
      <c r="F25" s="16">
        <f>Realizado!F25-Orçado!F25</f>
        <v>3549.26</v>
      </c>
      <c r="G25" s="16">
        <f>Realizado!G25-Orçado!G25</f>
        <v>4397.82</v>
      </c>
      <c r="H25" s="16">
        <f>Realizado!H25-Orçado!H25</f>
        <v>4801.26</v>
      </c>
      <c r="I25" s="16">
        <f>Realizado!I25-Orçado!I25</f>
        <v>5193.4199999999992</v>
      </c>
      <c r="J25" s="16">
        <f>Realizado!J25-Orçado!J25</f>
        <v>5575.71</v>
      </c>
      <c r="K25" s="16">
        <f>Realizado!K25-Orçado!K25</f>
        <v>5949.2100000000009</v>
      </c>
      <c r="L25" s="16">
        <f>Realizado!L25-Orçado!L25</f>
        <v>6673.44</v>
      </c>
      <c r="M25" s="16">
        <f>Realizado!M25-Orçado!M25</f>
        <v>7371.66</v>
      </c>
      <c r="N25" s="16">
        <f>Realizado!N25-Orçado!N25</f>
        <v>8047.96</v>
      </c>
      <c r="O25" s="16">
        <f>Realizado!O25-Orçado!O25</f>
        <v>8705.34</v>
      </c>
      <c r="P25" s="16">
        <f>Realizado!P25-Orçado!P25</f>
        <v>8884.93</v>
      </c>
      <c r="Q25" s="16">
        <f>Realizado!Q25-Orçado!Q25</f>
        <v>9063.2800000000007</v>
      </c>
      <c r="R25" s="16">
        <f>Realizado!R25-Orçado!R25</f>
        <v>9240.4399999999987</v>
      </c>
      <c r="S25" s="16">
        <f>Realizado!S25-Orçado!S25</f>
        <v>9416.4399999999987</v>
      </c>
      <c r="T25" s="16">
        <f>Realizado!T25-Orçado!T25</f>
        <v>9591.32</v>
      </c>
      <c r="U25" s="16">
        <f>Realizado!U25-Orçado!U25</f>
        <v>9765.1200000000008</v>
      </c>
      <c r="V25" s="16">
        <f>Realizado!V25-Orçado!V25</f>
        <v>9937.880000000001</v>
      </c>
      <c r="W25" s="16">
        <f>Realizado!W25-Orçado!W25</f>
        <v>10109.6</v>
      </c>
      <c r="X25" s="16">
        <f>Realizado!X25-Orçado!X25</f>
        <v>10280.35</v>
      </c>
      <c r="Y25" s="16">
        <f>Realizado!Y25-Orçado!Y25</f>
        <v>10450.129999999999</v>
      </c>
      <c r="Z25" s="16">
        <f>Realizado!Z25-Orçado!Z25</f>
        <v>10618.97</v>
      </c>
      <c r="AA25" s="16">
        <f>Realizado!AA25-Orçado!AA25</f>
        <v>10786.89</v>
      </c>
      <c r="AB25" s="16">
        <f>Realizado!AB25-Orçado!AB25</f>
        <v>10953.94</v>
      </c>
      <c r="AC25" s="16">
        <f>Realizado!AC25-Orçado!AC25</f>
        <v>11120.11</v>
      </c>
      <c r="AD25" s="16">
        <f>Realizado!AD25-Orçado!AD25</f>
        <v>11285.43</v>
      </c>
      <c r="AE25" s="16">
        <f>Realizado!AE25-Orçado!AE25</f>
        <v>11449.94</v>
      </c>
      <c r="AF25" s="16">
        <f>Realizado!AF25-Orçado!AF25</f>
        <v>11613.64</v>
      </c>
      <c r="AG25" s="16">
        <f>Realizado!AG25-Orçado!AG25</f>
        <v>11776.55</v>
      </c>
      <c r="AH25" s="16">
        <f>Realizado!AH25-Orçado!AH25</f>
        <v>11938.71</v>
      </c>
      <c r="AI25" s="16">
        <f>Realizado!AI25-Orçado!AI25</f>
        <v>12100.12</v>
      </c>
      <c r="AJ25" s="16">
        <f>Realizado!AJ25-Orçado!AJ25</f>
        <v>12260.79</v>
      </c>
      <c r="AK25" s="16">
        <f>Realizado!AK25-Orçado!AK25</f>
        <v>12420.75</v>
      </c>
      <c r="AL25" s="16">
        <f>Realizado!AL25-Orçado!AL25</f>
        <v>12579.99</v>
      </c>
      <c r="AM25" s="16">
        <f>Realizado!AM25-Orçado!AM25</f>
        <v>12738.56</v>
      </c>
      <c r="AN25" s="16">
        <f>Realizado!AN25-Orçado!AN25</f>
        <v>12896.45</v>
      </c>
      <c r="AO25" s="16">
        <f>Realizado!AO25-Orçado!AO25</f>
        <v>13053.69</v>
      </c>
      <c r="AP25" s="16">
        <f>Realizado!AP25-Orçado!AP25</f>
        <v>13210.28</v>
      </c>
      <c r="AQ25" s="16">
        <f>Realizado!AQ25-Orçado!AQ25</f>
        <v>13366.25</v>
      </c>
      <c r="AR25" s="16">
        <f>Realizado!AR25-Orçado!AR25</f>
        <v>13521.59</v>
      </c>
      <c r="AS25" s="16">
        <f>Realizado!AS25-Orçado!AS25</f>
        <v>13676.33</v>
      </c>
      <c r="AT25" s="16">
        <f>Realizado!AT25-Orçado!AT25</f>
        <v>13830.47</v>
      </c>
      <c r="AU25" s="16">
        <f>Realizado!AU25-Orçado!AU25</f>
        <v>13984.01</v>
      </c>
      <c r="AV25" s="16">
        <f>Realizado!AV25-Orçado!AV25</f>
        <v>14136.99</v>
      </c>
      <c r="AW25" s="16">
        <f>Realizado!AW25-Orçado!AW25</f>
        <v>14289.4</v>
      </c>
      <c r="AX25" s="16">
        <f>Realizado!AX25-Orçado!AX25</f>
        <v>14441.27</v>
      </c>
      <c r="AY25" s="16">
        <f>Realizado!AY25-Orçado!AY25</f>
        <v>14592.59</v>
      </c>
      <c r="AZ25" s="16">
        <f>Realizado!AZ25-Orçado!AZ25</f>
        <v>490394.27000000008</v>
      </c>
    </row>
    <row r="26" spans="1:52" x14ac:dyDescent="0.2">
      <c r="A26" s="5" t="s">
        <v>172</v>
      </c>
      <c r="B26" s="17">
        <f>Realizado!B26-Orçado!B26</f>
        <v>21.09</v>
      </c>
      <c r="C26" s="17">
        <f>Realizado!C26-Orçado!C26</f>
        <v>130</v>
      </c>
      <c r="D26" s="17">
        <f>Realizado!D26-Orçado!D26</f>
        <v>463.66</v>
      </c>
      <c r="E26" s="17">
        <f>Realizado!E26-Orçado!E26</f>
        <v>801.86</v>
      </c>
      <c r="F26" s="17">
        <f>Realizado!F26-Orçado!F26</f>
        <v>1104.78</v>
      </c>
      <c r="G26" s="17">
        <f>Realizado!G26-Orçado!G26</f>
        <v>1386.84</v>
      </c>
      <c r="H26" s="17">
        <f>Realizado!H26-Orçado!H26</f>
        <v>1522.14</v>
      </c>
      <c r="I26" s="17">
        <f>Realizado!I26-Orçado!I26</f>
        <v>1654.34</v>
      </c>
      <c r="J26" s="17">
        <f>Realizado!J26-Orçado!J26</f>
        <v>1783.78</v>
      </c>
      <c r="K26" s="17">
        <f>Realizado!K26-Orçado!K26</f>
        <v>1910.79</v>
      </c>
      <c r="L26" s="17">
        <f>Realizado!L26-Orçado!L26</f>
        <v>2158.4</v>
      </c>
      <c r="M26" s="17">
        <f>Realizado!M26-Orçado!M26</f>
        <v>2398.69</v>
      </c>
      <c r="N26" s="17">
        <f>Realizado!N26-Orçado!N26</f>
        <v>2632.76</v>
      </c>
      <c r="O26" s="17">
        <f>Realizado!O26-Orçado!O26</f>
        <v>2861.44</v>
      </c>
      <c r="P26" s="17">
        <f>Realizado!P26-Orçado!P26</f>
        <v>2924.09</v>
      </c>
      <c r="Q26" s="17">
        <f>Realizado!Q26-Orçado!Q26</f>
        <v>2986.39</v>
      </c>
      <c r="R26" s="17">
        <f>Realizado!R26-Orçado!R26</f>
        <v>3048.35</v>
      </c>
      <c r="S26" s="17">
        <f>Realizado!S26-Orçado!S26</f>
        <v>3109.98</v>
      </c>
      <c r="T26" s="17">
        <f>Realizado!T26-Orçado!T26</f>
        <v>3171.28</v>
      </c>
      <c r="U26" s="17">
        <f>Realizado!U26-Orçado!U26</f>
        <v>3232.26</v>
      </c>
      <c r="V26" s="17">
        <f>Realizado!V26-Orçado!V26</f>
        <v>3292.96</v>
      </c>
      <c r="W26" s="17">
        <f>Realizado!W26-Orçado!W26</f>
        <v>3353.35</v>
      </c>
      <c r="X26" s="17">
        <f>Realizado!X26-Orçado!X26</f>
        <v>3413.46</v>
      </c>
      <c r="Y26" s="17">
        <f>Realizado!Y26-Orçado!Y26</f>
        <v>3473.3</v>
      </c>
      <c r="Z26" s="17">
        <f>Realizado!Z26-Orçado!Z26</f>
        <v>3532.86</v>
      </c>
      <c r="AA26" s="17">
        <f>Realizado!AA26-Orçado!AA26</f>
        <v>3592.150000000001</v>
      </c>
      <c r="AB26" s="17">
        <f>Realizado!AB26-Orçado!AB26</f>
        <v>3651.19</v>
      </c>
      <c r="AC26" s="17">
        <f>Realizado!AC26-Orçado!AC26</f>
        <v>3709.96</v>
      </c>
      <c r="AD26" s="17">
        <f>Realizado!AD26-Orçado!AD26</f>
        <v>3768.49</v>
      </c>
      <c r="AE26" s="17">
        <f>Realizado!AE26-Orçado!AE26</f>
        <v>3826.8</v>
      </c>
      <c r="AF26" s="17">
        <f>Realizado!AF26-Orçado!AF26</f>
        <v>3884.87</v>
      </c>
      <c r="AG26" s="17">
        <f>Realizado!AG26-Orçado!AG26</f>
        <v>3942.7</v>
      </c>
      <c r="AH26" s="17">
        <f>Realizado!AH26-Orçado!AH26</f>
        <v>4000.32</v>
      </c>
      <c r="AI26" s="17">
        <f>Realizado!AI26-Orçado!AI26</f>
        <v>4057.71</v>
      </c>
      <c r="AJ26" s="17">
        <f>Realizado!AJ26-Orçado!AJ26</f>
        <v>4114.8900000000003</v>
      </c>
      <c r="AK26" s="17">
        <f>Realizado!AK26-Orçado!AK26</f>
        <v>4171.8500000000004</v>
      </c>
      <c r="AL26" s="17">
        <f>Realizado!AL26-Orçado!AL26</f>
        <v>4228.62</v>
      </c>
      <c r="AM26" s="17">
        <f>Realizado!AM26-Orçado!AM26</f>
        <v>4285.18</v>
      </c>
      <c r="AN26" s="17">
        <f>Realizado!AN26-Orçado!AN26</f>
        <v>4341.55</v>
      </c>
      <c r="AO26" s="17">
        <f>Realizado!AO26-Orçado!AO26</f>
        <v>4397.7299999999996</v>
      </c>
      <c r="AP26" s="17">
        <f>Realizado!AP26-Orçado!AP26</f>
        <v>4453.7</v>
      </c>
      <c r="AQ26" s="17">
        <f>Realizado!AQ26-Orçado!AQ26</f>
        <v>4509.51</v>
      </c>
      <c r="AR26" s="17">
        <f>Realizado!AR26-Orçado!AR26</f>
        <v>4565.12</v>
      </c>
      <c r="AS26" s="17">
        <f>Realizado!AS26-Orçado!AS26</f>
        <v>4620.5600000000004</v>
      </c>
      <c r="AT26" s="17">
        <f>Realizado!AT26-Orçado!AT26</f>
        <v>4675.82</v>
      </c>
      <c r="AU26" s="17">
        <f>Realizado!AU26-Orçado!AU26</f>
        <v>4730.91</v>
      </c>
      <c r="AV26" s="17">
        <f>Realizado!AV26-Orçado!AV26</f>
        <v>4785.83</v>
      </c>
      <c r="AW26" s="17">
        <f>Realizado!AW26-Orçado!AW26</f>
        <v>4840.59</v>
      </c>
      <c r="AX26" s="17">
        <f>Realizado!AX26-Orçado!AX26</f>
        <v>4895.1899999999996</v>
      </c>
      <c r="AY26" s="17">
        <f>Realizado!AY26-Orçado!AY26</f>
        <v>4949.6099999999997</v>
      </c>
      <c r="AZ26" s="17">
        <f>Realizado!AZ26-Orçado!AZ26</f>
        <v>163369.70000000001</v>
      </c>
    </row>
    <row r="27" spans="1:52" x14ac:dyDescent="0.2">
      <c r="A27" s="9" t="s">
        <v>173</v>
      </c>
      <c r="B27" s="16">
        <f>Realizado!B27-Orçado!B27</f>
        <v>22.34</v>
      </c>
      <c r="C27" s="16">
        <f>Realizado!C27-Orçado!C27</f>
        <v>125</v>
      </c>
      <c r="D27" s="16">
        <f>Realizado!D27-Orçado!D27</f>
        <v>416.67</v>
      </c>
      <c r="E27" s="16">
        <f>Realizado!E27-Orçado!E27</f>
        <v>699.88000000000011</v>
      </c>
      <c r="F27" s="16">
        <f>Realizado!F27-Orçado!F27</f>
        <v>947.94</v>
      </c>
      <c r="G27" s="16">
        <f>Realizado!G27-Orçado!G27</f>
        <v>1175.6199999999999</v>
      </c>
      <c r="H27" s="16">
        <f>Realizado!H27-Orçado!H27</f>
        <v>1283.94</v>
      </c>
      <c r="I27" s="16">
        <f>Realizado!I27-Orçado!I27</f>
        <v>1389.26</v>
      </c>
      <c r="J27" s="16">
        <f>Realizado!J27-Orçado!J27</f>
        <v>1491.97</v>
      </c>
      <c r="K27" s="16">
        <f>Realizado!K27-Orçado!K27</f>
        <v>1592.35</v>
      </c>
      <c r="L27" s="16">
        <f>Realizado!L27-Orçado!L27</f>
        <v>1787.05</v>
      </c>
      <c r="M27" s="16">
        <f>Realizado!M27-Orçado!M27</f>
        <v>1974.86</v>
      </c>
      <c r="N27" s="16">
        <f>Realizado!N27-Orçado!N27</f>
        <v>2156.84</v>
      </c>
      <c r="O27" s="16">
        <f>Realizado!O27-Orçado!O27</f>
        <v>2333.7800000000002</v>
      </c>
      <c r="P27" s="16">
        <f>Realizado!P27-Orçado!P27</f>
        <v>2382.13</v>
      </c>
      <c r="Q27" s="16">
        <f>Realizado!Q27-Orçado!Q27</f>
        <v>2430.15</v>
      </c>
      <c r="R27" s="16">
        <f>Realizado!R27-Orçado!R27</f>
        <v>2477.86</v>
      </c>
      <c r="S27" s="16">
        <f>Realizado!S27-Orçado!S27</f>
        <v>2525.25</v>
      </c>
      <c r="T27" s="16">
        <f>Realizado!T27-Orçado!T27</f>
        <v>2572.35</v>
      </c>
      <c r="U27" s="16">
        <f>Realizado!U27-Orçado!U27</f>
        <v>2619.16</v>
      </c>
      <c r="V27" s="16">
        <f>Realizado!V27-Orçado!V27</f>
        <v>2665.69</v>
      </c>
      <c r="W27" s="16">
        <f>Realizado!W27-Orçado!W27</f>
        <v>2711.95</v>
      </c>
      <c r="X27" s="16">
        <f>Realizado!X27-Orçado!X27</f>
        <v>2757.95</v>
      </c>
      <c r="Y27" s="16">
        <f>Realizado!Y27-Orçado!Y27</f>
        <v>2803.69</v>
      </c>
      <c r="Z27" s="16">
        <f>Realizado!Z27-Orçado!Z27</f>
        <v>2849.19</v>
      </c>
      <c r="AA27" s="16">
        <f>Realizado!AA27-Orçado!AA27</f>
        <v>2894.43</v>
      </c>
      <c r="AB27" s="16">
        <f>Realizado!AB27-Orçado!AB27</f>
        <v>2939.45</v>
      </c>
      <c r="AC27" s="16">
        <f>Realizado!AC27-Orçado!AC27</f>
        <v>2984.22</v>
      </c>
      <c r="AD27" s="16">
        <f>Realizado!AD27-Orçado!AD27</f>
        <v>3028.78</v>
      </c>
      <c r="AE27" s="16">
        <f>Realizado!AE27-Orçado!AE27</f>
        <v>3073.12</v>
      </c>
      <c r="AF27" s="16">
        <f>Realizado!AF27-Orçado!AF27</f>
        <v>3117.25</v>
      </c>
      <c r="AG27" s="16">
        <f>Realizado!AG27-Orçado!AG27</f>
        <v>3161.17</v>
      </c>
      <c r="AH27" s="16">
        <f>Realizado!AH27-Orçado!AH27</f>
        <v>3204.87</v>
      </c>
      <c r="AI27" s="16">
        <f>Realizado!AI27-Orçado!AI27</f>
        <v>3248.38</v>
      </c>
      <c r="AJ27" s="16">
        <f>Realizado!AJ27-Orçado!AJ27</f>
        <v>3291.71</v>
      </c>
      <c r="AK27" s="16">
        <f>Realizado!AK27-Orçado!AK27</f>
        <v>3334.83</v>
      </c>
      <c r="AL27" s="16">
        <f>Realizado!AL27-Orçado!AL27</f>
        <v>3377.76</v>
      </c>
      <c r="AM27" s="16">
        <f>Realizado!AM27-Orçado!AM27</f>
        <v>3420.53</v>
      </c>
      <c r="AN27" s="16">
        <f>Realizado!AN27-Orçado!AN27</f>
        <v>3463.1</v>
      </c>
      <c r="AO27" s="16">
        <f>Realizado!AO27-Orçado!AO27</f>
        <v>3505.51</v>
      </c>
      <c r="AP27" s="16">
        <f>Realizado!AP27-Orçado!AP27</f>
        <v>3547.74</v>
      </c>
      <c r="AQ27" s="16">
        <f>Realizado!AQ27-Orçado!AQ27</f>
        <v>3589.8</v>
      </c>
      <c r="AR27" s="16">
        <f>Realizado!AR27-Orçado!AR27</f>
        <v>3631.69</v>
      </c>
      <c r="AS27" s="16">
        <f>Realizado!AS27-Orçado!AS27</f>
        <v>3673.43</v>
      </c>
      <c r="AT27" s="16">
        <f>Realizado!AT27-Orçado!AT27</f>
        <v>3715.01</v>
      </c>
      <c r="AU27" s="16">
        <f>Realizado!AU27-Orçado!AU27</f>
        <v>3756.43</v>
      </c>
      <c r="AV27" s="16">
        <f>Realizado!AV27-Orçado!AV27</f>
        <v>3797.7</v>
      </c>
      <c r="AW27" s="16">
        <f>Realizado!AW27-Orçado!AW27</f>
        <v>3838.82</v>
      </c>
      <c r="AX27" s="16">
        <f>Realizado!AX27-Orçado!AX27</f>
        <v>3879.79</v>
      </c>
      <c r="AY27" s="16">
        <f>Realizado!AY27-Orçado!AY27</f>
        <v>3920.62</v>
      </c>
      <c r="AZ27" s="16">
        <f>Realizado!AZ27-Orçado!AZ27</f>
        <v>131589.01</v>
      </c>
    </row>
    <row r="28" spans="1:52" x14ac:dyDescent="0.2">
      <c r="A28" s="5" t="s">
        <v>174</v>
      </c>
      <c r="B28" s="17">
        <f>Realizado!B28-Orçado!B28</f>
        <v>0</v>
      </c>
      <c r="C28" s="17">
        <f>Realizado!C28-Orçado!C28</f>
        <v>0</v>
      </c>
      <c r="D28" s="17">
        <f>Realizado!D28-Orçado!D28</f>
        <v>0</v>
      </c>
      <c r="E28" s="17">
        <f>Realizado!E28-Orçado!E28</f>
        <v>0</v>
      </c>
      <c r="F28" s="17">
        <f>Realizado!F28-Orçado!F28</f>
        <v>0</v>
      </c>
      <c r="G28" s="17">
        <f>Realizado!G28-Orçado!G28</f>
        <v>0</v>
      </c>
      <c r="H28" s="17">
        <f>Realizado!H28-Orçado!H28</f>
        <v>0</v>
      </c>
      <c r="I28" s="17">
        <f>Realizado!I28-Orçado!I28</f>
        <v>0</v>
      </c>
      <c r="J28" s="17">
        <f>Realizado!J28-Orçado!J28</f>
        <v>0</v>
      </c>
      <c r="K28" s="17">
        <f>Realizado!K28-Orçado!K28</f>
        <v>0</v>
      </c>
      <c r="L28" s="17">
        <f>Realizado!L28-Orçado!L28</f>
        <v>0</v>
      </c>
      <c r="M28" s="17">
        <f>Realizado!M28-Orçado!M28</f>
        <v>0</v>
      </c>
      <c r="N28" s="17">
        <f>Realizado!N28-Orçado!N28</f>
        <v>0</v>
      </c>
      <c r="O28" s="17">
        <f>Realizado!O28-Orçado!O28</f>
        <v>0</v>
      </c>
      <c r="P28" s="17">
        <f>Realizado!P28-Orçado!P28</f>
        <v>0</v>
      </c>
      <c r="Q28" s="17">
        <f>Realizado!Q28-Orçado!Q28</f>
        <v>0</v>
      </c>
      <c r="R28" s="17">
        <f>Realizado!R28-Orçado!R28</f>
        <v>0</v>
      </c>
      <c r="S28" s="17">
        <f>Realizado!S28-Orçado!S28</f>
        <v>0</v>
      </c>
      <c r="T28" s="17">
        <f>Realizado!T28-Orçado!T28</f>
        <v>0</v>
      </c>
      <c r="U28" s="17">
        <f>Realizado!U28-Orçado!U28</f>
        <v>0</v>
      </c>
      <c r="V28" s="17">
        <f>Realizado!V28-Orçado!V28</f>
        <v>0</v>
      </c>
      <c r="W28" s="17">
        <f>Realizado!W28-Orçado!W28</f>
        <v>0</v>
      </c>
      <c r="X28" s="17">
        <f>Realizado!X28-Orçado!X28</f>
        <v>0</v>
      </c>
      <c r="Y28" s="17">
        <f>Realizado!Y28-Orçado!Y28</f>
        <v>0</v>
      </c>
      <c r="Z28" s="17">
        <f>Realizado!Z28-Orçado!Z28</f>
        <v>0</v>
      </c>
      <c r="AA28" s="17">
        <f>Realizado!AA28-Orçado!AA28</f>
        <v>0</v>
      </c>
      <c r="AB28" s="17">
        <f>Realizado!AB28-Orçado!AB28</f>
        <v>0</v>
      </c>
      <c r="AC28" s="17">
        <f>Realizado!AC28-Orçado!AC28</f>
        <v>0</v>
      </c>
      <c r="AD28" s="17">
        <f>Realizado!AD28-Orçado!AD28</f>
        <v>0</v>
      </c>
      <c r="AE28" s="17">
        <f>Realizado!AE28-Orçado!AE28</f>
        <v>0</v>
      </c>
      <c r="AF28" s="17">
        <f>Realizado!AF28-Orçado!AF28</f>
        <v>0</v>
      </c>
      <c r="AG28" s="17">
        <f>Realizado!AG28-Orçado!AG28</f>
        <v>0</v>
      </c>
      <c r="AH28" s="17">
        <f>Realizado!AH28-Orçado!AH28</f>
        <v>0</v>
      </c>
      <c r="AI28" s="17">
        <f>Realizado!AI28-Orçado!AI28</f>
        <v>0</v>
      </c>
      <c r="AJ28" s="17">
        <f>Realizado!AJ28-Orçado!AJ28</f>
        <v>0</v>
      </c>
      <c r="AK28" s="17">
        <f>Realizado!AK28-Orçado!AK28</f>
        <v>0</v>
      </c>
      <c r="AL28" s="17">
        <f>Realizado!AL28-Orçado!AL28</f>
        <v>0</v>
      </c>
      <c r="AM28" s="17">
        <f>Realizado!AM28-Orçado!AM28</f>
        <v>0</v>
      </c>
      <c r="AN28" s="17">
        <f>Realizado!AN28-Orçado!AN28</f>
        <v>0</v>
      </c>
      <c r="AO28" s="17">
        <f>Realizado!AO28-Orçado!AO28</f>
        <v>0</v>
      </c>
      <c r="AP28" s="17">
        <f>Realizado!AP28-Orçado!AP28</f>
        <v>0</v>
      </c>
      <c r="AQ28" s="17">
        <f>Realizado!AQ28-Orçado!AQ28</f>
        <v>0</v>
      </c>
      <c r="AR28" s="17">
        <f>Realizado!AR28-Orçado!AR28</f>
        <v>0</v>
      </c>
      <c r="AS28" s="17">
        <f>Realizado!AS28-Orçado!AS28</f>
        <v>0</v>
      </c>
      <c r="AT28" s="17">
        <f>Realizado!AT28-Orçado!AT28</f>
        <v>0</v>
      </c>
      <c r="AU28" s="17">
        <f>Realizado!AU28-Orçado!AU28</f>
        <v>0</v>
      </c>
      <c r="AV28" s="17">
        <f>Realizado!AV28-Orçado!AV28</f>
        <v>0</v>
      </c>
      <c r="AW28" s="17">
        <f>Realizado!AW28-Orçado!AW28</f>
        <v>0</v>
      </c>
      <c r="AX28" s="17">
        <f>Realizado!AX28-Orçado!AX28</f>
        <v>0</v>
      </c>
      <c r="AY28" s="17">
        <f>Realizado!AY28-Orçado!AY28</f>
        <v>0</v>
      </c>
      <c r="AZ28" s="17">
        <f>Realizado!AZ28-Orçado!AZ28</f>
        <v>0</v>
      </c>
    </row>
    <row r="29" spans="1:52" x14ac:dyDescent="0.2">
      <c r="A29" s="2" t="s">
        <v>175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</row>
    <row r="30" spans="1:52" x14ac:dyDescent="0.2">
      <c r="A30" s="18" t="s">
        <v>176</v>
      </c>
      <c r="B30" s="19">
        <f>Realizado!B30-Orçado!B30</f>
        <v>266.37</v>
      </c>
      <c r="C30" s="19">
        <f>Realizado!C30-Orçado!C30</f>
        <v>1347.52</v>
      </c>
      <c r="D30" s="19">
        <f>Realizado!D30-Orçado!D30</f>
        <v>4524.8499999999995</v>
      </c>
      <c r="E30" s="19">
        <f>Realizado!E30-Orçado!E30</f>
        <v>57415.615700000002</v>
      </c>
      <c r="F30" s="19">
        <f>Realizado!F30-Orçado!F30</f>
        <v>59810.35</v>
      </c>
      <c r="G30" s="19">
        <f>Realizado!G30-Orçado!G30</f>
        <v>59054.559999999998</v>
      </c>
      <c r="H30" s="19">
        <f>Realizado!H30-Orçado!H30</f>
        <v>49232.22</v>
      </c>
      <c r="I30" s="19">
        <f>Realizado!I30-Orçado!I30</f>
        <v>7134.91</v>
      </c>
      <c r="J30" s="19">
        <f>Realizado!J30-Orçado!J30</f>
        <v>-54011.07</v>
      </c>
      <c r="K30" s="19">
        <f>Realizado!K30-Orçado!K30</f>
        <v>-254632.36</v>
      </c>
      <c r="L30" s="19">
        <f>Realizado!L30-Orçado!L30</f>
        <v>-896303.44999999972</v>
      </c>
      <c r="M30" s="19">
        <f>Realizado!M30-Orçado!M30</f>
        <v>-1432123.11</v>
      </c>
      <c r="N30" s="19">
        <f>Realizado!N30-Orçado!N30</f>
        <v>-2106918.7949999999</v>
      </c>
      <c r="O30" s="19">
        <f>Realizado!O30-Orçado!O30</f>
        <v>-2302197.7000000002</v>
      </c>
      <c r="P30" s="19">
        <f>Realizado!P30-Orçado!P30</f>
        <v>-2432212.08</v>
      </c>
      <c r="Q30" s="19">
        <f>Realizado!Q30-Orçado!Q30</f>
        <v>-2677766.0699999998</v>
      </c>
      <c r="R30" s="19">
        <f>Realizado!R30-Orçado!R30</f>
        <v>-2938323.4200000009</v>
      </c>
      <c r="S30" s="19">
        <f>Realizado!S30-Orçado!S30</f>
        <v>-3198883.9499999979</v>
      </c>
      <c r="T30" s="19">
        <f>Realizado!T30-Orçado!T30</f>
        <v>-3459447.71</v>
      </c>
      <c r="U30" s="19">
        <f>Realizado!U30-Orçado!U30</f>
        <v>-3720014.41</v>
      </c>
      <c r="V30" s="19">
        <f>Realizado!V30-Orçado!V30</f>
        <v>-3980584.15</v>
      </c>
      <c r="W30" s="19">
        <f>Realizado!W30-Orçado!W30</f>
        <v>-4175888.7249999992</v>
      </c>
      <c r="X30" s="19">
        <f>Realizado!X30-Orçado!X30</f>
        <v>-4371196.1100000013</v>
      </c>
      <c r="Y30" s="19">
        <f>Realizado!Y30-Orçado!Y30</f>
        <v>-4566506.2350000013</v>
      </c>
      <c r="Z30" s="19">
        <f>Realizado!Z30-Orçado!Z30</f>
        <v>-4735711.8199999984</v>
      </c>
      <c r="AA30" s="19">
        <f>Realizado!AA30-Orçado!AA30</f>
        <v>-4891866.370000001</v>
      </c>
      <c r="AB30" s="19">
        <f>Realizado!AB30-Orçado!AB30</f>
        <v>-5021916.24</v>
      </c>
      <c r="AC30" s="19">
        <f>Realizado!AC30-Orçado!AC30</f>
        <v>-5135468.5399999972</v>
      </c>
      <c r="AD30" s="19">
        <f>Realizado!AD30-Orçado!AD30</f>
        <v>-5265523.28</v>
      </c>
      <c r="AE30" s="19">
        <f>Realizado!AE30-Orçado!AE30</f>
        <v>-5395580.3900000043</v>
      </c>
      <c r="AF30" s="19">
        <f>Realizado!AF30-Orçado!AF30</f>
        <v>-5525639.79</v>
      </c>
      <c r="AG30" s="19">
        <f>Realizado!AG30-Orçado!AG30</f>
        <v>-5655701.4100000048</v>
      </c>
      <c r="AH30" s="19">
        <f>Realizado!AH30-Orçado!AH30</f>
        <v>-5785765.29</v>
      </c>
      <c r="AI30" s="19">
        <f>Realizado!AI30-Orçado!AI30</f>
        <v>-5915831.299999997</v>
      </c>
      <c r="AJ30" s="19">
        <f>Realizado!AJ30-Orçado!AJ30</f>
        <v>-6045899.4000000004</v>
      </c>
      <c r="AK30" s="19">
        <f>Realizado!AK30-Orçado!AK30</f>
        <v>-6175969.5699999984</v>
      </c>
      <c r="AL30" s="19">
        <f>Realizado!AL30-Orçado!AL30</f>
        <v>-6306041.7199999997</v>
      </c>
      <c r="AM30" s="19">
        <f>Realizado!AM30-Orçado!AM30</f>
        <v>-6436115.9099999974</v>
      </c>
      <c r="AN30" s="19">
        <f>Realizado!AN30-Orçado!AN30</f>
        <v>-6566191.9699999997</v>
      </c>
      <c r="AO30" s="19">
        <f>Realizado!AO30-Orçado!AO30</f>
        <v>-6678119.9800000051</v>
      </c>
      <c r="AP30" s="19">
        <f>Realizado!AP30-Orçado!AP30</f>
        <v>-6808199.8099999996</v>
      </c>
      <c r="AQ30" s="19">
        <f>Realizado!AQ30-Orçado!AQ30</f>
        <v>-6938281.5100000044</v>
      </c>
      <c r="AR30" s="19">
        <f>Realizado!AR30-Orçado!AR30</f>
        <v>-7068364.9800000004</v>
      </c>
      <c r="AS30" s="19">
        <f>Realizado!AS30-Orçado!AS30</f>
        <v>-7198450.2099999897</v>
      </c>
      <c r="AT30" s="19">
        <f>Realizado!AT30-Orçado!AT30</f>
        <v>-7328537.1399999997</v>
      </c>
      <c r="AU30" s="19">
        <f>Realizado!AU30-Orçado!AU30</f>
        <v>-7458625.7800000049</v>
      </c>
      <c r="AV30" s="19">
        <f>Realizado!AV30-Orçado!AV30</f>
        <v>-7588716.0700000003</v>
      </c>
      <c r="AW30" s="19">
        <f>Realizado!AW30-Orçado!AW30</f>
        <v>-6151432.8099999996</v>
      </c>
      <c r="AX30" s="19">
        <f>Realizado!AX30-Orçado!AX30</f>
        <v>-7632517.5</v>
      </c>
      <c r="AY30" s="19">
        <f>Realizado!AY30-Orçado!AY30</f>
        <v>-7632517.5</v>
      </c>
      <c r="AZ30" s="19">
        <f>Realizado!AZ30-Orçado!AZ30</f>
        <v>-7632517.5</v>
      </c>
    </row>
    <row r="31" spans="1:52" x14ac:dyDescent="0.2">
      <c r="A31" s="9" t="s">
        <v>177</v>
      </c>
      <c r="B31" s="16">
        <f>Realizado!B31-Orçado!B31</f>
        <v>26.637</v>
      </c>
      <c r="C31" s="16">
        <f>Realizado!C31-Orçado!C31</f>
        <v>134.75200000000001</v>
      </c>
      <c r="D31" s="16">
        <f>Realizado!D31-Orçado!D31</f>
        <v>452.48500000000001</v>
      </c>
      <c r="E31" s="16">
        <f>Realizado!E31-Orçado!E31</f>
        <v>5741.5615700000008</v>
      </c>
      <c r="F31" s="16">
        <f>Realizado!F31-Orçado!F31</f>
        <v>5981.0349999999999</v>
      </c>
      <c r="G31" s="16">
        <f>Realizado!G31-Orçado!G31</f>
        <v>5905.4560000000001</v>
      </c>
      <c r="H31" s="16">
        <f>Realizado!H31-Orçado!H31</f>
        <v>4923.2220000000007</v>
      </c>
      <c r="I31" s="16">
        <f>Realizado!I31-Orçado!I31</f>
        <v>713.49099999999999</v>
      </c>
      <c r="J31" s="16">
        <f>Realizado!J31-Orçado!J31</f>
        <v>0</v>
      </c>
      <c r="K31" s="16">
        <f>Realizado!K31-Orçado!K31</f>
        <v>0</v>
      </c>
      <c r="L31" s="16">
        <f>Realizado!L31-Orçado!L31</f>
        <v>0</v>
      </c>
      <c r="M31" s="16">
        <f>Realizado!M31-Orçado!M31</f>
        <v>0</v>
      </c>
      <c r="N31" s="16">
        <f>Realizado!N31-Orçado!N31</f>
        <v>0</v>
      </c>
      <c r="O31" s="16">
        <f>Realizado!O31-Orçado!O31</f>
        <v>0</v>
      </c>
      <c r="P31" s="16">
        <f>Realizado!P31-Orçado!P31</f>
        <v>0</v>
      </c>
      <c r="Q31" s="16">
        <f>Realizado!Q31-Orçado!Q31</f>
        <v>0</v>
      </c>
      <c r="R31" s="16">
        <f>Realizado!R31-Orçado!R31</f>
        <v>0</v>
      </c>
      <c r="S31" s="16">
        <f>Realizado!S31-Orçado!S31</f>
        <v>0</v>
      </c>
      <c r="T31" s="16">
        <f>Realizado!T31-Orçado!T31</f>
        <v>0</v>
      </c>
      <c r="U31" s="16">
        <f>Realizado!U31-Orçado!U31</f>
        <v>0</v>
      </c>
      <c r="V31" s="16">
        <f>Realizado!V31-Orçado!V31</f>
        <v>0</v>
      </c>
      <c r="W31" s="16">
        <f>Realizado!W31-Orçado!W31</f>
        <v>0</v>
      </c>
      <c r="X31" s="16">
        <f>Realizado!X31-Orçado!X31</f>
        <v>0</v>
      </c>
      <c r="Y31" s="16">
        <f>Realizado!Y31-Orçado!Y31</f>
        <v>0</v>
      </c>
      <c r="Z31" s="16">
        <f>Realizado!Z31-Orçado!Z31</f>
        <v>0</v>
      </c>
      <c r="AA31" s="16">
        <f>Realizado!AA31-Orçado!AA31</f>
        <v>0</v>
      </c>
      <c r="AB31" s="16">
        <f>Realizado!AB31-Orçado!AB31</f>
        <v>0</v>
      </c>
      <c r="AC31" s="16">
        <f>Realizado!AC31-Orçado!AC31</f>
        <v>0</v>
      </c>
      <c r="AD31" s="16">
        <f>Realizado!AD31-Orçado!AD31</f>
        <v>0</v>
      </c>
      <c r="AE31" s="16">
        <f>Realizado!AE31-Orçado!AE31</f>
        <v>0</v>
      </c>
      <c r="AF31" s="16">
        <f>Realizado!AF31-Orçado!AF31</f>
        <v>0</v>
      </c>
      <c r="AG31" s="16">
        <f>Realizado!AG31-Orçado!AG31</f>
        <v>0</v>
      </c>
      <c r="AH31" s="16">
        <f>Realizado!AH31-Orçado!AH31</f>
        <v>0</v>
      </c>
      <c r="AI31" s="16">
        <f>Realizado!AI31-Orçado!AI31</f>
        <v>0</v>
      </c>
      <c r="AJ31" s="16">
        <f>Realizado!AJ31-Orçado!AJ31</f>
        <v>0</v>
      </c>
      <c r="AK31" s="16">
        <f>Realizado!AK31-Orçado!AK31</f>
        <v>0</v>
      </c>
      <c r="AL31" s="16">
        <f>Realizado!AL31-Orçado!AL31</f>
        <v>0</v>
      </c>
      <c r="AM31" s="16">
        <f>Realizado!AM31-Orçado!AM31</f>
        <v>0</v>
      </c>
      <c r="AN31" s="16">
        <f>Realizado!AN31-Orçado!AN31</f>
        <v>0</v>
      </c>
      <c r="AO31" s="16">
        <f>Realizado!AO31-Orçado!AO31</f>
        <v>0</v>
      </c>
      <c r="AP31" s="16">
        <f>Realizado!AP31-Orçado!AP31</f>
        <v>0</v>
      </c>
      <c r="AQ31" s="16">
        <f>Realizado!AQ31-Orçado!AQ31</f>
        <v>0</v>
      </c>
      <c r="AR31" s="16">
        <f>Realizado!AR31-Orçado!AR31</f>
        <v>0</v>
      </c>
      <c r="AS31" s="16">
        <f>Realizado!AS31-Orçado!AS31</f>
        <v>0</v>
      </c>
      <c r="AT31" s="16">
        <f>Realizado!AT31-Orçado!AT31</f>
        <v>0</v>
      </c>
      <c r="AU31" s="16">
        <f>Realizado!AU31-Orçado!AU31</f>
        <v>0</v>
      </c>
      <c r="AV31" s="16">
        <f>Realizado!AV31-Orçado!AV31</f>
        <v>0</v>
      </c>
      <c r="AW31" s="16">
        <f>Realizado!AW31-Orçado!AW31</f>
        <v>0</v>
      </c>
      <c r="AX31" s="16">
        <f>Realizado!AX31-Orçado!AX31</f>
        <v>0</v>
      </c>
      <c r="AY31" s="16">
        <f>Realizado!AY31-Orçado!AY31</f>
        <v>0</v>
      </c>
      <c r="AZ31" s="16">
        <f>Realizado!AZ31-Orçado!AZ31</f>
        <v>0</v>
      </c>
    </row>
    <row r="32" spans="1:52" x14ac:dyDescent="0.2">
      <c r="A32" s="5" t="s">
        <v>178</v>
      </c>
      <c r="B32" s="17">
        <f>Realizado!B32-Orçado!B32</f>
        <v>0</v>
      </c>
      <c r="C32" s="17">
        <f>Realizado!C32-Orçado!C32</f>
        <v>0</v>
      </c>
      <c r="D32" s="17">
        <f>Realizado!D32-Orçado!D32</f>
        <v>0</v>
      </c>
      <c r="E32" s="17">
        <f>Realizado!E32-Orçado!E32</f>
        <v>0</v>
      </c>
      <c r="F32" s="17">
        <f>Realizado!F32-Orçado!F32</f>
        <v>0</v>
      </c>
      <c r="G32" s="17">
        <f>Realizado!G32-Orçado!G32</f>
        <v>0</v>
      </c>
      <c r="H32" s="17">
        <f>Realizado!H32-Orçado!H32</f>
        <v>0</v>
      </c>
      <c r="I32" s="17">
        <f>Realizado!I32-Orçado!I32</f>
        <v>0</v>
      </c>
      <c r="J32" s="17">
        <f>Realizado!J32-Orçado!J32</f>
        <v>0</v>
      </c>
      <c r="K32" s="17">
        <f>Realizado!K32-Orçado!K32</f>
        <v>109589.34</v>
      </c>
      <c r="L32" s="17">
        <f>Realizado!L32-Orçado!L32</f>
        <v>273973.34999999998</v>
      </c>
      <c r="M32" s="17">
        <f>Realizado!M32-Orçado!M32</f>
        <v>410960.02500000002</v>
      </c>
      <c r="N32" s="17">
        <f>Realizado!N32-Orçado!N32</f>
        <v>486028.55</v>
      </c>
      <c r="O32" s="17">
        <f>Realizado!O32-Orçado!O32</f>
        <v>527688.14</v>
      </c>
      <c r="P32" s="17">
        <f>Realizado!P32-Orçado!P32</f>
        <v>555461.20000000007</v>
      </c>
      <c r="Q32" s="17">
        <f>Realizado!Q32-Orçado!Q32</f>
        <v>611007.32000000007</v>
      </c>
      <c r="R32" s="17">
        <f>Realizado!R32-Orçado!R32</f>
        <v>666553.44000000006</v>
      </c>
      <c r="S32" s="17">
        <f>Realizado!S32-Orçado!S32</f>
        <v>722099.56</v>
      </c>
      <c r="T32" s="17">
        <f>Realizado!T32-Orçado!T32</f>
        <v>777645.68</v>
      </c>
      <c r="U32" s="17">
        <f>Realizado!U32-Orçado!U32</f>
        <v>833191.8</v>
      </c>
      <c r="V32" s="17">
        <f>Realizado!V32-Orçado!V32</f>
        <v>888737.92</v>
      </c>
      <c r="W32" s="17">
        <f>Realizado!W32-Orçado!W32</f>
        <v>930397.51</v>
      </c>
      <c r="X32" s="17">
        <f>Realizado!X32-Orçado!X32</f>
        <v>972057.10000000009</v>
      </c>
      <c r="Y32" s="17">
        <f>Realizado!Y32-Orçado!Y32</f>
        <v>1013716.69</v>
      </c>
      <c r="Z32" s="17">
        <f>Realizado!Z32-Orçado!Z32</f>
        <v>1049821.6680000001</v>
      </c>
      <c r="AA32" s="17">
        <f>Realizado!AA32-Orçado!AA32</f>
        <v>1083149.3400000001</v>
      </c>
      <c r="AB32" s="17">
        <f>Realizado!AB32-Orçado!AB32</f>
        <v>1110922.3999999999</v>
      </c>
      <c r="AC32" s="17">
        <f>Realizado!AC32-Orçado!AC32</f>
        <v>1138695.46</v>
      </c>
      <c r="AD32" s="17">
        <f>Realizado!AD32-Orçado!AD32</f>
        <v>1166468.52</v>
      </c>
      <c r="AE32" s="17">
        <f>Realizado!AE32-Orçado!AE32</f>
        <v>1194241.58</v>
      </c>
      <c r="AF32" s="17">
        <f>Realizado!AF32-Orçado!AF32</f>
        <v>1222014.6399999999</v>
      </c>
      <c r="AG32" s="17">
        <f>Realizado!AG32-Orçado!AG32</f>
        <v>1249787.7</v>
      </c>
      <c r="AH32" s="17">
        <f>Realizado!AH32-Orçado!AH32</f>
        <v>1277560.76</v>
      </c>
      <c r="AI32" s="17">
        <f>Realizado!AI32-Orçado!AI32</f>
        <v>1305333.82</v>
      </c>
      <c r="AJ32" s="17">
        <f>Realizado!AJ32-Orçado!AJ32</f>
        <v>1333106.8799999999</v>
      </c>
      <c r="AK32" s="17">
        <f>Realizado!AK32-Orçado!AK32</f>
        <v>1360879.94</v>
      </c>
      <c r="AL32" s="17">
        <f>Realizado!AL32-Orçado!AL32</f>
        <v>1388653</v>
      </c>
      <c r="AM32" s="17">
        <f>Realizado!AM32-Orçado!AM32</f>
        <v>1416426.06</v>
      </c>
      <c r="AN32" s="17">
        <f>Realizado!AN32-Orçado!AN32</f>
        <v>1444199.12</v>
      </c>
      <c r="AO32" s="17">
        <f>Realizado!AO32-Orçado!AO32</f>
        <v>1471972.18</v>
      </c>
      <c r="AP32" s="17">
        <f>Realizado!AP32-Orçado!AP32</f>
        <v>1499745.24</v>
      </c>
      <c r="AQ32" s="17">
        <f>Realizado!AQ32-Orçado!AQ32</f>
        <v>1527518.3</v>
      </c>
      <c r="AR32" s="17">
        <f>Realizado!AR32-Orçado!AR32</f>
        <v>1555291.36</v>
      </c>
      <c r="AS32" s="17">
        <f>Realizado!AS32-Orçado!AS32</f>
        <v>1583064.42</v>
      </c>
      <c r="AT32" s="17">
        <f>Realizado!AT32-Orçado!AT32</f>
        <v>1610837.48</v>
      </c>
      <c r="AU32" s="17">
        <f>Realizado!AU32-Orçado!AU32</f>
        <v>1638610.54</v>
      </c>
      <c r="AV32" s="17">
        <f>Realizado!AV32-Orçado!AV32</f>
        <v>1666383.6</v>
      </c>
      <c r="AW32" s="17">
        <f>Realizado!AW32-Orçado!AW32</f>
        <v>1666383.6</v>
      </c>
      <c r="AX32" s="17">
        <f>Realizado!AX32-Orçado!AX32</f>
        <v>1666383.6</v>
      </c>
      <c r="AY32" s="17">
        <f>Realizado!AY32-Orçado!AY32</f>
        <v>1666383.6</v>
      </c>
      <c r="AZ32" s="17">
        <f>Realizado!AZ32-Orçado!AZ32</f>
        <v>1666383.6</v>
      </c>
    </row>
    <row r="33" spans="1:52" x14ac:dyDescent="0.2">
      <c r="A33" s="13" t="s">
        <v>179</v>
      </c>
      <c r="B33" s="20">
        <f>Realizado!B33-Orçado!B33</f>
        <v>293.00700000000001</v>
      </c>
      <c r="C33" s="20">
        <f>Realizado!C33-Orçado!C33</f>
        <v>1482.2719999999999</v>
      </c>
      <c r="D33" s="20">
        <f>Realizado!D33-Orçado!D33</f>
        <v>4977.3349999999991</v>
      </c>
      <c r="E33" s="20">
        <f>Realizado!E33-Orçado!E33</f>
        <v>63157.17727</v>
      </c>
      <c r="F33" s="20">
        <f>Realizado!F33-Orçado!F33</f>
        <v>65791.384999999995</v>
      </c>
      <c r="G33" s="20">
        <f>Realizado!G33-Orçado!G33</f>
        <v>64960.016000000003</v>
      </c>
      <c r="H33" s="20">
        <f>Realizado!H33-Orçado!H33</f>
        <v>54155.442000000003</v>
      </c>
      <c r="I33" s="20">
        <f>Realizado!I33-Orçado!I33</f>
        <v>7848.4009999999998</v>
      </c>
      <c r="J33" s="20">
        <f>Realizado!J33-Orçado!J33</f>
        <v>-54011.07</v>
      </c>
      <c r="K33" s="20">
        <f>Realizado!K33-Orçado!K33</f>
        <v>-145043.01999999999</v>
      </c>
      <c r="L33" s="20">
        <f>Realizado!L33-Orçado!L33</f>
        <v>-622330.09999999963</v>
      </c>
      <c r="M33" s="20">
        <f>Realizado!M33-Orçado!M33</f>
        <v>-1021163.085</v>
      </c>
      <c r="N33" s="20">
        <f>Realizado!N33-Orçado!N33</f>
        <v>-1620890.2450000001</v>
      </c>
      <c r="O33" s="20">
        <f>Realizado!O33-Orçado!O33</f>
        <v>-1774509.56</v>
      </c>
      <c r="P33" s="20">
        <f>Realizado!P33-Orçado!P33</f>
        <v>-1876750.88</v>
      </c>
      <c r="Q33" s="20">
        <f>Realizado!Q33-Orçado!Q33</f>
        <v>-2066758.75</v>
      </c>
      <c r="R33" s="20">
        <f>Realizado!R33-Orçado!R33</f>
        <v>-2271769.9800000009</v>
      </c>
      <c r="S33" s="20">
        <f>Realizado!S33-Orçado!S33</f>
        <v>-2476784.3899999978</v>
      </c>
      <c r="T33" s="20">
        <f>Realizado!T33-Orçado!T33</f>
        <v>-2681802.0299999998</v>
      </c>
      <c r="U33" s="20">
        <f>Realizado!U33-Orçado!U33</f>
        <v>-2886822.61</v>
      </c>
      <c r="V33" s="20">
        <f>Realizado!V33-Orçado!V33</f>
        <v>-3091846.23</v>
      </c>
      <c r="W33" s="20">
        <f>Realizado!W33-Orçado!W33</f>
        <v>-3245491.2149999989</v>
      </c>
      <c r="X33" s="20">
        <f>Realizado!X33-Orçado!X33</f>
        <v>-3399139.0100000012</v>
      </c>
      <c r="Y33" s="20">
        <f>Realizado!Y33-Orçado!Y33</f>
        <v>-3552789.5450000009</v>
      </c>
      <c r="Z33" s="20">
        <f>Realizado!Z33-Orçado!Z33</f>
        <v>-3685890.151999997</v>
      </c>
      <c r="AA33" s="20">
        <f>Realizado!AA33-Orçado!AA33</f>
        <v>-3808717.0300000012</v>
      </c>
      <c r="AB33" s="20">
        <f>Realizado!AB33-Orçado!AB33</f>
        <v>-3910993.84</v>
      </c>
      <c r="AC33" s="20">
        <f>Realizado!AC33-Orçado!AC33</f>
        <v>-3996773.0799999968</v>
      </c>
      <c r="AD33" s="20">
        <f>Realizado!AD33-Orçado!AD33</f>
        <v>-4099054.76</v>
      </c>
      <c r="AE33" s="20">
        <f>Realizado!AE33-Orçado!AE33</f>
        <v>-4201338.8100000042</v>
      </c>
      <c r="AF33" s="20">
        <f>Realizado!AF33-Orçado!AF33</f>
        <v>-4303625.1500000004</v>
      </c>
      <c r="AG33" s="20">
        <f>Realizado!AG33-Orçado!AG33</f>
        <v>-4405913.7100000046</v>
      </c>
      <c r="AH33" s="20">
        <f>Realizado!AH33-Orçado!AH33</f>
        <v>-4508204.53</v>
      </c>
      <c r="AI33" s="20">
        <f>Realizado!AI33-Orçado!AI33</f>
        <v>-4610497.4799999967</v>
      </c>
      <c r="AJ33" s="20">
        <f>Realizado!AJ33-Orçado!AJ33</f>
        <v>-4712792.5199999996</v>
      </c>
      <c r="AK33" s="20">
        <f>Realizado!AK33-Orçado!AK33</f>
        <v>-4815089.6299999971</v>
      </c>
      <c r="AL33" s="20">
        <f>Realizado!AL33-Orçado!AL33</f>
        <v>-4917388.72</v>
      </c>
      <c r="AM33" s="20">
        <f>Realizado!AM33-Orçado!AM33</f>
        <v>-5019689.8499999978</v>
      </c>
      <c r="AN33" s="20">
        <f>Realizado!AN33-Orçado!AN33</f>
        <v>-5121992.8499999996</v>
      </c>
      <c r="AO33" s="20">
        <f>Realizado!AO33-Orçado!AO33</f>
        <v>-5206147.8000000035</v>
      </c>
      <c r="AP33" s="20">
        <f>Realizado!AP33-Orçado!AP33</f>
        <v>-5308454.5699999994</v>
      </c>
      <c r="AQ33" s="20">
        <f>Realizado!AQ33-Orçado!AQ33</f>
        <v>-5410763.2100000046</v>
      </c>
      <c r="AR33" s="20">
        <f>Realizado!AR33-Orçado!AR33</f>
        <v>-5513073.6200000001</v>
      </c>
      <c r="AS33" s="20">
        <f>Realizado!AS33-Orçado!AS33</f>
        <v>-5615385.7899999898</v>
      </c>
      <c r="AT33" s="20">
        <f>Realizado!AT33-Orçado!AT33</f>
        <v>-5717699.6600000001</v>
      </c>
      <c r="AU33" s="20">
        <f>Realizado!AU33-Orçado!AU33</f>
        <v>-5820015.2400000049</v>
      </c>
      <c r="AV33" s="20">
        <f>Realizado!AV33-Orçado!AV33</f>
        <v>-5922332.4700000007</v>
      </c>
      <c r="AW33" s="20">
        <f>Realizado!AW33-Orçado!AW33</f>
        <v>-4485049.209999999</v>
      </c>
      <c r="AX33" s="20">
        <f>Realizado!AX33-Orçado!AX33</f>
        <v>-5966133.9000000004</v>
      </c>
      <c r="AY33" s="20">
        <f>Realizado!AY33-Orçado!AY33</f>
        <v>-5966133.9000000004</v>
      </c>
      <c r="AZ33" s="20">
        <f>Realizado!AZ33-Orçado!AZ33</f>
        <v>-5966133.9000000004</v>
      </c>
    </row>
    <row r="34" spans="1:52" x14ac:dyDescent="0.2">
      <c r="A34" s="13" t="s">
        <v>180</v>
      </c>
      <c r="B34" s="20">
        <f>Realizado!B34-Orçado!B34</f>
        <v>293.00700000000001</v>
      </c>
      <c r="C34" s="20">
        <f>Realizado!C34-Orçado!C34</f>
        <v>1775.279</v>
      </c>
      <c r="D34" s="20">
        <f>Realizado!D34-Orçado!D34</f>
        <v>6752.6139999999996</v>
      </c>
      <c r="E34" s="20">
        <f>Realizado!E34-Orçado!E34</f>
        <v>69909.791270000002</v>
      </c>
      <c r="F34" s="20">
        <f>Realizado!F34-Orçado!F34</f>
        <v>135701.17627</v>
      </c>
      <c r="G34" s="20">
        <f>Realizado!G34-Orçado!G34</f>
        <v>200661.19227</v>
      </c>
      <c r="H34" s="20">
        <f>Realizado!H34-Orçado!H34</f>
        <v>254816.63427000001</v>
      </c>
      <c r="I34" s="20">
        <f>Realizado!I34-Orçado!I34</f>
        <v>262665.03526999999</v>
      </c>
      <c r="J34" s="20">
        <f>Realizado!J34-Orçado!J34</f>
        <v>208653.96526999999</v>
      </c>
      <c r="K34" s="20">
        <f>Realizado!K34-Orçado!K34</f>
        <v>63610.945270000033</v>
      </c>
      <c r="L34" s="20">
        <f>Realizado!L34-Orçado!L34</f>
        <v>-558719.1547299996</v>
      </c>
      <c r="M34" s="20">
        <f>Realizado!M34-Orçado!M34</f>
        <v>-1579882.23973</v>
      </c>
      <c r="N34" s="20">
        <f>Realizado!N34-Orçado!N34</f>
        <v>-3200772.4847300001</v>
      </c>
      <c r="O34" s="20">
        <f>Realizado!O34-Orçado!O34</f>
        <v>-4975282.0447299993</v>
      </c>
      <c r="P34" s="20">
        <f>Realizado!P34-Orçado!P34</f>
        <v>-6852032.9247299992</v>
      </c>
      <c r="Q34" s="20">
        <f>Realizado!Q34-Orçado!Q34</f>
        <v>-8918791.6747299992</v>
      </c>
      <c r="R34" s="20">
        <f>Realizado!R34-Orçado!R34</f>
        <v>-11190561.65473</v>
      </c>
      <c r="S34" s="20">
        <f>Realizado!S34-Orçado!S34</f>
        <v>-13667346.04473</v>
      </c>
      <c r="T34" s="20">
        <f>Realizado!T34-Orçado!T34</f>
        <v>-16349148.07473</v>
      </c>
      <c r="U34" s="20">
        <f>Realizado!U34-Orçado!U34</f>
        <v>-19235970.684730001</v>
      </c>
      <c r="V34" s="20">
        <f>Realizado!V34-Orçado!V34</f>
        <v>-22327816.914730001</v>
      </c>
      <c r="W34" s="20">
        <f>Realizado!W34-Orçado!W34</f>
        <v>-25573308.129730001</v>
      </c>
      <c r="X34" s="20">
        <f>Realizado!X34-Orçado!X34</f>
        <v>-28972447.139729999</v>
      </c>
      <c r="Y34" s="20">
        <f>Realizado!Y34-Orçado!Y34</f>
        <v>-32525236.684730001</v>
      </c>
      <c r="Z34" s="20">
        <f>Realizado!Z34-Orçado!Z34</f>
        <v>-36211126.836730003</v>
      </c>
      <c r="AA34" s="20">
        <f>Realizado!AA34-Orçado!AA34</f>
        <v>-40019843.866729997</v>
      </c>
      <c r="AB34" s="20">
        <f>Realizado!AB34-Orçado!AB34</f>
        <v>-43930837.706729993</v>
      </c>
      <c r="AC34" s="20">
        <f>Realizado!AC34-Orçado!AC34</f>
        <v>-47927610.786729991</v>
      </c>
      <c r="AD34" s="20">
        <f>Realizado!AD34-Orçado!AD34</f>
        <v>-52026665.546729989</v>
      </c>
      <c r="AE34" s="20">
        <f>Realizado!AE34-Orçado!AE34</f>
        <v>-56228004.356729992</v>
      </c>
      <c r="AF34" s="20">
        <f>Realizado!AF34-Orçado!AF34</f>
        <v>-60531629.50672999</v>
      </c>
      <c r="AG34" s="20">
        <f>Realizado!AG34-Orçado!AG34</f>
        <v>-64937543.216729999</v>
      </c>
      <c r="AH34" s="20">
        <f>Realizado!AH34-Orçado!AH34</f>
        <v>-69445747.74673</v>
      </c>
      <c r="AI34" s="20">
        <f>Realizado!AI34-Orçado!AI34</f>
        <v>-74056245.226729989</v>
      </c>
      <c r="AJ34" s="20">
        <f>Realizado!AJ34-Orçado!AJ34</f>
        <v>-78769037.746729985</v>
      </c>
      <c r="AK34" s="20">
        <f>Realizado!AK34-Orçado!AK34</f>
        <v>-83584127.37672998</v>
      </c>
      <c r="AL34" s="20">
        <f>Realizado!AL34-Orçado!AL34</f>
        <v>-88501516.096729979</v>
      </c>
      <c r="AM34" s="20">
        <f>Realizado!AM34-Orçado!AM34</f>
        <v>-93521205.946729973</v>
      </c>
      <c r="AN34" s="20">
        <f>Realizado!AN34-Orçado!AN34</f>
        <v>-98643198.796729967</v>
      </c>
      <c r="AO34" s="20">
        <f>Realizado!AO34-Orçado!AO34</f>
        <v>-103849346.59672999</v>
      </c>
      <c r="AP34" s="20">
        <f>Realizado!AP34-Orçado!AP34</f>
        <v>-109157801.16673</v>
      </c>
      <c r="AQ34" s="20">
        <f>Realizado!AQ34-Orçado!AQ34</f>
        <v>-114568564.37673</v>
      </c>
      <c r="AR34" s="20">
        <f>Realizado!AR34-Orçado!AR34</f>
        <v>-120081637.99673</v>
      </c>
      <c r="AS34" s="20">
        <f>Realizado!AS34-Orçado!AS34</f>
        <v>-125697023.78673001</v>
      </c>
      <c r="AT34" s="20">
        <f>Realizado!AT34-Orçado!AT34</f>
        <v>-131414723.44673</v>
      </c>
      <c r="AU34" s="20">
        <f>Realizado!AU34-Orçado!AU34</f>
        <v>-137234738.68673</v>
      </c>
      <c r="AV34" s="20">
        <f>Realizado!AV34-Orçado!AV34</f>
        <v>-143157071.15673</v>
      </c>
      <c r="AW34" s="20">
        <f>Realizado!AW34-Orçado!AW34</f>
        <v>-147642120.36673</v>
      </c>
      <c r="AX34" s="20">
        <f>Realizado!AX34-Orçado!AX34</f>
        <v>-153608254.26673001</v>
      </c>
      <c r="AY34" s="20">
        <f>Realizado!AY34-Orçado!AY34</f>
        <v>-159574388.16672999</v>
      </c>
      <c r="AZ34" s="20">
        <f>Realizado!AZ34-Orçado!AZ34</f>
        <v>-165540522.06672999</v>
      </c>
    </row>
  </sheetData>
  <mergeCells count="2">
    <mergeCell ref="A2:BA2"/>
    <mergeCell ref="A1:B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sqref="A1:H1"/>
    </sheetView>
  </sheetViews>
  <sheetFormatPr baseColWidth="10" defaultColWidth="8.83203125" defaultRowHeight="15" x14ac:dyDescent="0.2"/>
  <cols>
    <col min="1" max="1" width="44" customWidth="1"/>
    <col min="2" max="8" width="22" customWidth="1"/>
  </cols>
  <sheetData>
    <row r="1" spans="1:8" ht="21" x14ac:dyDescent="0.25">
      <c r="A1" s="29" t="s">
        <v>185</v>
      </c>
      <c r="B1" s="26"/>
      <c r="C1" s="26"/>
      <c r="D1" s="26"/>
      <c r="E1" s="26"/>
      <c r="F1" s="26"/>
      <c r="G1" s="26"/>
      <c r="H1" s="26"/>
    </row>
    <row r="2" spans="1:8" x14ac:dyDescent="0.2">
      <c r="A2" s="28" t="s">
        <v>186</v>
      </c>
      <c r="B2" s="26"/>
      <c r="C2" s="26"/>
      <c r="D2" s="26"/>
      <c r="E2" s="26"/>
      <c r="F2" s="26"/>
      <c r="G2" s="26"/>
      <c r="H2" s="26"/>
    </row>
    <row r="4" spans="1:8" x14ac:dyDescent="0.2">
      <c r="A4" s="30" t="s">
        <v>187</v>
      </c>
      <c r="B4" s="26"/>
      <c r="C4" s="30" t="s">
        <v>188</v>
      </c>
      <c r="D4" s="26"/>
      <c r="E4" s="30" t="s">
        <v>189</v>
      </c>
      <c r="F4" s="26"/>
      <c r="G4" s="30" t="s">
        <v>190</v>
      </c>
      <c r="H4" s="26"/>
    </row>
    <row r="5" spans="1:8" ht="19" x14ac:dyDescent="0.2">
      <c r="A5" s="32" t="s">
        <v>191</v>
      </c>
      <c r="B5" s="26"/>
      <c r="C5" s="32" t="s">
        <v>192</v>
      </c>
      <c r="D5" s="26"/>
      <c r="E5" s="32" t="s">
        <v>193</v>
      </c>
      <c r="F5" s="26"/>
      <c r="G5" s="32" t="s">
        <v>194</v>
      </c>
      <c r="H5" s="26"/>
    </row>
    <row r="6" spans="1:8" x14ac:dyDescent="0.2">
      <c r="A6" s="31" t="s">
        <v>195</v>
      </c>
      <c r="B6" s="26"/>
      <c r="C6" s="31" t="s">
        <v>196</v>
      </c>
      <c r="D6" s="26"/>
      <c r="E6" s="31" t="s">
        <v>197</v>
      </c>
      <c r="F6" s="26"/>
      <c r="G6" s="31" t="s">
        <v>198</v>
      </c>
      <c r="H6" s="26"/>
    </row>
    <row r="8" spans="1:8" x14ac:dyDescent="0.2">
      <c r="A8" s="1" t="s">
        <v>199</v>
      </c>
      <c r="B8" s="12" t="s">
        <v>200</v>
      </c>
      <c r="C8" s="12" t="s">
        <v>201</v>
      </c>
      <c r="D8" s="12" t="s">
        <v>202</v>
      </c>
      <c r="E8" s="12" t="s">
        <v>203</v>
      </c>
      <c r="F8" s="12" t="s">
        <v>204</v>
      </c>
      <c r="G8" s="12" t="s">
        <v>205</v>
      </c>
    </row>
    <row r="9" spans="1:8" x14ac:dyDescent="0.2">
      <c r="A9" s="5" t="s">
        <v>206</v>
      </c>
      <c r="B9" s="4">
        <v>1000</v>
      </c>
      <c r="C9" s="4">
        <v>1000000</v>
      </c>
      <c r="D9" s="4">
        <v>2000000</v>
      </c>
      <c r="E9" s="4">
        <v>2600000</v>
      </c>
      <c r="F9" s="4">
        <v>3000000</v>
      </c>
      <c r="G9" s="4">
        <v>3000000</v>
      </c>
    </row>
    <row r="10" spans="1:8" x14ac:dyDescent="0.2">
      <c r="A10" s="21" t="s">
        <v>207</v>
      </c>
      <c r="B10" s="22">
        <v>1280</v>
      </c>
      <c r="C10" s="22">
        <v>11463994.4</v>
      </c>
      <c r="D10" s="22">
        <v>49767200</v>
      </c>
      <c r="E10" s="22">
        <v>77017200</v>
      </c>
      <c r="F10" s="22">
        <v>102730000</v>
      </c>
      <c r="G10" s="22">
        <v>240979674.40000001</v>
      </c>
    </row>
    <row r="11" spans="1:8" x14ac:dyDescent="0.2">
      <c r="A11" s="5" t="s">
        <v>208</v>
      </c>
      <c r="B11" s="16">
        <v>1203.2</v>
      </c>
      <c r="C11" s="16">
        <v>10776154.699999999</v>
      </c>
      <c r="D11" s="16">
        <v>46781168</v>
      </c>
      <c r="E11" s="16">
        <v>72396168</v>
      </c>
      <c r="F11" s="16">
        <v>96566200</v>
      </c>
      <c r="G11" s="16">
        <v>226520893.90000001</v>
      </c>
    </row>
    <row r="12" spans="1:8" x14ac:dyDescent="0.2">
      <c r="A12" s="5" t="s">
        <v>209</v>
      </c>
      <c r="B12" s="17">
        <v>-128</v>
      </c>
      <c r="C12" s="17">
        <v>-1146399.3999999999</v>
      </c>
      <c r="D12" s="17">
        <v>-4976720</v>
      </c>
      <c r="E12" s="17">
        <v>-7701720</v>
      </c>
      <c r="F12" s="17">
        <v>-10273000</v>
      </c>
      <c r="G12" s="17">
        <v>-24097967.399999999</v>
      </c>
    </row>
    <row r="13" spans="1:8" x14ac:dyDescent="0.2">
      <c r="A13" s="5" t="s">
        <v>210</v>
      </c>
      <c r="B13" s="16">
        <v>-352</v>
      </c>
      <c r="C13" s="16">
        <v>-2955078.8</v>
      </c>
      <c r="D13" s="16">
        <v>-10500000</v>
      </c>
      <c r="E13" s="16">
        <v>-13500000</v>
      </c>
      <c r="F13" s="16">
        <v>-15000000</v>
      </c>
      <c r="G13" s="16">
        <v>-41955430.799999997</v>
      </c>
    </row>
    <row r="14" spans="1:8" x14ac:dyDescent="0.2">
      <c r="A14" s="5" t="s">
        <v>211</v>
      </c>
      <c r="B14" s="17">
        <v>-934.7</v>
      </c>
      <c r="C14" s="17">
        <v>-423208.7</v>
      </c>
      <c r="D14" s="17">
        <v>-1950000</v>
      </c>
      <c r="E14" s="17">
        <v>-2450000</v>
      </c>
      <c r="F14" s="17">
        <v>-2950000</v>
      </c>
      <c r="G14" s="17">
        <v>-7774143.4000000004</v>
      </c>
    </row>
    <row r="15" spans="1:8" x14ac:dyDescent="0.2">
      <c r="A15" s="5" t="s">
        <v>212</v>
      </c>
      <c r="B15" s="16">
        <v>-211.5</v>
      </c>
      <c r="C15" s="16">
        <v>6251467.7999999998</v>
      </c>
      <c r="D15" s="16">
        <v>29354448</v>
      </c>
      <c r="E15" s="16">
        <v>48744448</v>
      </c>
      <c r="F15" s="16">
        <v>68343200</v>
      </c>
      <c r="G15" s="16">
        <v>152693352.30000001</v>
      </c>
    </row>
    <row r="16" spans="1:8" x14ac:dyDescent="0.2">
      <c r="A16" s="13" t="s">
        <v>213</v>
      </c>
      <c r="B16" s="23">
        <v>-6752.6</v>
      </c>
      <c r="C16" s="23">
        <v>6858785.5</v>
      </c>
      <c r="D16" s="23">
        <v>37078804.799999997</v>
      </c>
      <c r="E16" s="23">
        <v>54712361.100000001</v>
      </c>
      <c r="F16" s="23">
        <v>66897323.299999997</v>
      </c>
      <c r="G16" s="23">
        <v>165540522.09999999</v>
      </c>
    </row>
    <row r="17" spans="1:7" x14ac:dyDescent="0.2">
      <c r="A17" s="5" t="s">
        <v>214</v>
      </c>
      <c r="B17" s="24" t="s">
        <v>215</v>
      </c>
      <c r="C17" s="24" t="s">
        <v>216</v>
      </c>
      <c r="D17" s="24" t="s">
        <v>217</v>
      </c>
      <c r="E17" s="24" t="s">
        <v>218</v>
      </c>
      <c r="F17" s="24" t="s">
        <v>219</v>
      </c>
      <c r="G17" s="24" t="s">
        <v>220</v>
      </c>
    </row>
  </sheetData>
  <mergeCells count="14">
    <mergeCell ref="A1:H1"/>
    <mergeCell ref="A6:B6"/>
    <mergeCell ref="C4:D4"/>
    <mergeCell ref="A2:H2"/>
    <mergeCell ref="C5:D5"/>
    <mergeCell ref="A5:B5"/>
    <mergeCell ref="G5:H5"/>
    <mergeCell ref="E5:F5"/>
    <mergeCell ref="A4:B4"/>
    <mergeCell ref="G4:H4"/>
    <mergeCell ref="E4:F4"/>
    <mergeCell ref="E6:F6"/>
    <mergeCell ref="C6:D6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Premissas &amp; Parâmetros</vt:lpstr>
      <vt:lpstr>Orçado</vt:lpstr>
      <vt:lpstr>Realizado</vt:lpstr>
      <vt:lpstr>Variação Real x Orçado</vt:lpstr>
      <vt:lpstr>Dashboard Executivo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Gallo</cp:lastModifiedBy>
  <dcterms:created xsi:type="dcterms:W3CDTF">2026-09-02T16:33:46Z</dcterms:created>
  <dcterms:modified xsi:type="dcterms:W3CDTF">2026-09-02T16:58:14Z</dcterms:modified>
</cp:coreProperties>
</file>