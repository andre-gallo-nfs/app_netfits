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Anual Consolidado" sheetId="1" state="visible" r:id="rId1"/>
    <sheet xmlns:r="http://schemas.openxmlformats.org/officeDocument/2006/relationships" name="Projeção Mensal (51 Meses)" sheetId="2" state="visible" r:id="rId2"/>
    <sheet xmlns:r="http://schemas.openxmlformats.org/officeDocument/2006/relationships" name="Premissas &amp; Arquitetura Fin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&quot;R$ &quot;0.0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9"/>
    </font>
    <font>
      <name val="Segoe UI"/>
      <color rgb="00334155"/>
      <sz val="8.5"/>
    </font>
    <font>
      <name val="Segoe UI"/>
      <b val="1"/>
      <color rgb="000F172A"/>
      <sz val="8.5"/>
    </font>
    <font>
      <name val="Segoe UI"/>
      <b val="1"/>
      <color rgb="00064E3B"/>
      <sz val="9"/>
    </font>
    <font>
      <name val="Segoe UI"/>
      <b val="1"/>
      <color rgb="00B45309"/>
      <sz val="8.5"/>
    </font>
    <font>
      <name val="Segoe UI"/>
      <b val="1"/>
      <color rgb="001E3A8A"/>
      <sz val="9"/>
    </font>
    <font>
      <name val="Segoe UI"/>
      <b val="1"/>
      <color rgb="000F172A"/>
      <sz val="11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47857"/>
        <bgColor rgb="00047857"/>
      </patternFill>
    </fill>
    <fill>
      <patternFill patternType="solid">
        <fgColor rgb="001D4ED8"/>
        <bgColor rgb="001D4ED8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medium">
        <color rgb="0094A3B8"/>
      </top>
      <bottom style="medium">
        <color rgb="0094A3B8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double">
        <color rgb="00064E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5" fillId="7" borderId="2" pivotButton="0" quotePrefix="0" xfId="0"/>
    <xf numFmtId="164" fontId="5" fillId="7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4" fillId="0" borderId="2" pivotButton="0" quotePrefix="0" xfId="0"/>
    <xf numFmtId="164" fontId="4" fillId="0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6" fillId="8" borderId="3" pivotButton="0" quotePrefix="0" xfId="0"/>
    <xf numFmtId="164" fontId="6" fillId="8" borderId="3" applyAlignment="1" pivotButton="0" quotePrefix="0" xfId="0">
      <alignment horizontal="right" vertical="center"/>
    </xf>
    <xf numFmtId="10" fontId="6" fillId="8" borderId="3" applyAlignment="1" pivotButton="0" quotePrefix="0" xfId="0">
      <alignment horizontal="right" vertical="center"/>
    </xf>
    <xf numFmtId="0" fontId="7" fillId="9" borderId="2" pivotButton="0" quotePrefix="0" xfId="0"/>
    <xf numFmtId="164" fontId="7" fillId="9" borderId="2" applyAlignment="1" pivotButton="0" quotePrefix="0" xfId="0">
      <alignment horizontal="right" vertical="center"/>
    </xf>
    <xf numFmtId="10" fontId="7" fillId="9" borderId="2" applyAlignment="1" pivotButton="0" quotePrefix="0" xfId="0">
      <alignment horizontal="right" vertical="center"/>
    </xf>
    <xf numFmtId="0" fontId="8" fillId="6" borderId="3" pivotButton="0" quotePrefix="0" xfId="0"/>
    <xf numFmtId="164" fontId="8" fillId="6" borderId="3" applyAlignment="1" pivotButton="0" quotePrefix="0" xfId="0">
      <alignment horizontal="right" vertical="center"/>
    </xf>
    <xf numFmtId="10" fontId="8" fillId="6" borderId="3" applyAlignment="1" pivotButton="0" quotePrefix="0" xfId="0">
      <alignment horizontal="right" vertical="center"/>
    </xf>
    <xf numFmtId="0" fontId="5" fillId="10" borderId="2" pivotButton="0" quotePrefix="0" xfId="0"/>
    <xf numFmtId="3" fontId="5" fillId="10" borderId="2" applyAlignment="1" pivotButton="0" quotePrefix="0" xfId="0">
      <alignment horizontal="right" vertical="center"/>
    </xf>
    <xf numFmtId="0" fontId="0" fillId="10" borderId="2" applyAlignment="1" pivotButton="0" quotePrefix="0" xfId="0">
      <alignment horizontal="center" vertical="center"/>
    </xf>
    <xf numFmtId="164" fontId="5" fillId="10" borderId="2" applyAlignment="1" pivotButton="0" quotePrefix="0" xfId="0">
      <alignment horizontal="right" vertical="center"/>
    </xf>
    <xf numFmtId="165" fontId="5" fillId="10" borderId="2" applyAlignment="1" pivotButton="0" quotePrefix="0" xfId="0">
      <alignment horizontal="right" vertical="center"/>
    </xf>
    <xf numFmtId="10" fontId="5" fillId="10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2" pivotButton="0" quotePrefix="0" xfId="0"/>
    <xf numFmtId="3" fontId="4" fillId="6" borderId="2" applyAlignment="1" pivotButton="0" quotePrefix="0" xfId="0">
      <alignment horizontal="right" vertical="center"/>
    </xf>
    <xf numFmtId="3" fontId="5" fillId="6" borderId="2" applyAlignment="1" pivotButton="0" quotePrefix="0" xfId="0">
      <alignment horizontal="right" vertical="center"/>
    </xf>
    <xf numFmtId="0" fontId="5" fillId="6" borderId="2" pivotButton="0" quotePrefix="0" xfId="0"/>
    <xf numFmtId="164" fontId="5" fillId="6" borderId="2" applyAlignment="1" pivotButton="0" quotePrefix="0" xfId="0">
      <alignment horizontal="right" vertical="center"/>
    </xf>
    <xf numFmtId="0" fontId="5" fillId="0" borderId="2" pivotButton="0" quotePrefix="0" xfId="0"/>
    <xf numFmtId="165" fontId="5" fillId="0" borderId="2" applyAlignment="1" pivotButton="0" quotePrefix="0" xfId="0">
      <alignment horizontal="right" vertical="center"/>
    </xf>
    <xf numFmtId="0" fontId="9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 outlineLevelCol="0"/>
  <cols>
    <col width="54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18" customWidth="1" min="8" max="8"/>
    <col width="28" customWidth="1" min="9" max="9"/>
  </cols>
  <sheetData>
    <row r="1" ht="36" customHeight="1">
      <c r="A1" s="1" t="inlineStr">
        <is>
          <t>NETFITS PLATAFORMA DIGITAL S.A. — ESTUDO DE CUSTOS DE TECNOLOGIA &amp; FINOPS (2026 - 2030)</t>
        </is>
      </c>
    </row>
    <row r="2" ht="20" customHeight="1">
      <c r="A2" s="2" t="inlineStr">
        <is>
          <t>Consolidado por Exercício Social (Out/26 a Dez/30 · 51 Meses de Operação) · Eficiência de Capital e FinOps</t>
        </is>
      </c>
    </row>
    <row r="4" ht="26" customHeight="1">
      <c r="A4" s="3" t="inlineStr">
        <is>
          <t>Conta DRE / Família de Tecnologia &amp; FinOps</t>
        </is>
      </c>
      <c r="B4" s="4" t="inlineStr">
        <is>
          <t>2026 (3 meses)</t>
        </is>
      </c>
      <c r="C4" s="4" t="inlineStr">
        <is>
          <t>2027 (12 meses)</t>
        </is>
      </c>
      <c r="D4" s="4" t="inlineStr">
        <is>
          <t>2028 (12 meses)</t>
        </is>
      </c>
      <c r="E4" s="4" t="inlineStr">
        <is>
          <t>2029 (12 meses)</t>
        </is>
      </c>
      <c r="F4" s="4" t="inlineStr">
        <is>
          <t>2030 (12 meses)</t>
        </is>
      </c>
      <c r="G4" s="4" t="inlineStr">
        <is>
          <t>TOTAL ACUMULADO (51M)</t>
        </is>
      </c>
      <c r="H4" s="4" t="inlineStr">
        <is>
          <t>% da Receita Bruta</t>
        </is>
      </c>
      <c r="I4" s="4" t="inlineStr">
        <is>
          <t>Economia FinOps vs. Tradicional</t>
        </is>
      </c>
    </row>
    <row r="5" ht="20" customHeight="1">
      <c r="A5" s="5" t="inlineStr">
        <is>
          <t>1. Squad de Agentes de IA Autônomos (8 Agentes)</t>
        </is>
      </c>
      <c r="B5" s="6">
        <f>SUM('Projeção Mensal (51 Meses)'!B9:D9)</f>
        <v/>
      </c>
      <c r="C5" s="6">
        <f>SUM('Projeção Mensal (51 Meses)'!E9:P9)</f>
        <v/>
      </c>
      <c r="D5" s="6">
        <f>SUM('Projeção Mensal (51 Meses)'!Q9:AB9)</f>
        <v/>
      </c>
      <c r="E5" s="6">
        <f>SUM('Projeção Mensal (51 Meses)'!AC9:AN9)</f>
        <v/>
      </c>
      <c r="F5" s="6">
        <f>SUM('Projeção Mensal (51 Meses)'!AO9:AZ9)</f>
        <v/>
      </c>
      <c r="G5" s="6">
        <f>SUM(B5:F5)</f>
        <v/>
      </c>
      <c r="H5" s="7">
        <f>G5/$G$36</f>
        <v/>
      </c>
      <c r="I5" s="8" t="n">
        <v>5961395.42</v>
      </c>
    </row>
    <row r="6" ht="20" customHeight="1">
      <c r="A6" s="9" t="inlineStr">
        <is>
          <t xml:space="preserve">  1.1 Shop Recommender (Gemini Flash)</t>
        </is>
      </c>
      <c r="B6" s="10">
        <f>SUM('Projeção Mensal (51 Meses)'!B10:D10)</f>
        <v/>
      </c>
      <c r="C6" s="10">
        <f>SUM('Projeção Mensal (51 Meses)'!E10:P10)</f>
        <v/>
      </c>
      <c r="D6" s="10">
        <f>SUM('Projeção Mensal (51 Meses)'!Q10:AB10)</f>
        <v/>
      </c>
      <c r="E6" s="10">
        <f>SUM('Projeção Mensal (51 Meses)'!AC10:AN10)</f>
        <v/>
      </c>
      <c r="F6" s="10">
        <f>SUM('Projeção Mensal (51 Meses)'!AO10:AZ10)</f>
        <v/>
      </c>
      <c r="G6" s="10">
        <f>SUM(B6:F6)</f>
        <v/>
      </c>
      <c r="H6" s="11">
        <f>G6/$G$36</f>
        <v/>
      </c>
      <c r="I6" s="12" t="inlineStr">
        <is>
          <t>-</t>
        </is>
      </c>
    </row>
    <row r="7" ht="20" customHeight="1">
      <c r="A7" s="9" t="inlineStr">
        <is>
          <t xml:space="preserve">  1.2 Algorithmic Feed Curator (Gemini Lite)</t>
        </is>
      </c>
      <c r="B7" s="10">
        <f>SUM('Projeção Mensal (51 Meses)'!B11:D11)</f>
        <v/>
      </c>
      <c r="C7" s="10">
        <f>SUM('Projeção Mensal (51 Meses)'!E11:P11)</f>
        <v/>
      </c>
      <c r="D7" s="10">
        <f>SUM('Projeção Mensal (51 Meses)'!Q11:AB11)</f>
        <v/>
      </c>
      <c r="E7" s="10">
        <f>SUM('Projeção Mensal (51 Meses)'!AC11:AN11)</f>
        <v/>
      </c>
      <c r="F7" s="10">
        <f>SUM('Projeção Mensal (51 Meses)'!AO11:AZ11)</f>
        <v/>
      </c>
      <c r="G7" s="10">
        <f>SUM(B7:F7)</f>
        <v/>
      </c>
      <c r="H7" s="11">
        <f>G7/$G$36</f>
        <v/>
      </c>
      <c r="I7" s="12" t="inlineStr">
        <is>
          <t>-</t>
        </is>
      </c>
    </row>
    <row r="8" ht="20" customHeight="1">
      <c r="A8" s="9" t="inlineStr">
        <is>
          <t xml:space="preserve">  1.3 Sentinel Fraud Shield (Gemini Flash)</t>
        </is>
      </c>
      <c r="B8" s="10">
        <f>SUM('Projeção Mensal (51 Meses)'!B12:D12)</f>
        <v/>
      </c>
      <c r="C8" s="10">
        <f>SUM('Projeção Mensal (51 Meses)'!E12:P12)</f>
        <v/>
      </c>
      <c r="D8" s="10">
        <f>SUM('Projeção Mensal (51 Meses)'!Q12:AB12)</f>
        <v/>
      </c>
      <c r="E8" s="10">
        <f>SUM('Projeção Mensal (51 Meses)'!AC12:AN12)</f>
        <v/>
      </c>
      <c r="F8" s="10">
        <f>SUM('Projeção Mensal (51 Meses)'!AO12:AZ12)</f>
        <v/>
      </c>
      <c r="G8" s="10">
        <f>SUM(B8:F8)</f>
        <v/>
      </c>
      <c r="H8" s="11">
        <f>G8/$G$36</f>
        <v/>
      </c>
      <c r="I8" s="12" t="inlineStr">
        <is>
          <t>-</t>
        </is>
      </c>
    </row>
    <row r="9" ht="20" customHeight="1">
      <c r="A9" s="9" t="inlineStr">
        <is>
          <t xml:space="preserve">  1.4 Accounting &amp; Tax DRE Audit (Gemini Pro)</t>
        </is>
      </c>
      <c r="B9" s="10">
        <f>SUM('Projeção Mensal (51 Meses)'!B13:D13)</f>
        <v/>
      </c>
      <c r="C9" s="10">
        <f>SUM('Projeção Mensal (51 Meses)'!E13:P13)</f>
        <v/>
      </c>
      <c r="D9" s="10">
        <f>SUM('Projeção Mensal (51 Meses)'!Q13:AB13)</f>
        <v/>
      </c>
      <c r="E9" s="10">
        <f>SUM('Projeção Mensal (51 Meses)'!AC13:AN13)</f>
        <v/>
      </c>
      <c r="F9" s="10">
        <f>SUM('Projeção Mensal (51 Meses)'!AO13:AZ13)</f>
        <v/>
      </c>
      <c r="G9" s="10">
        <f>SUM(B9:F9)</f>
        <v/>
      </c>
      <c r="H9" s="11">
        <f>G9/$G$36</f>
        <v/>
      </c>
      <c r="I9" s="12" t="inlineStr">
        <is>
          <t>-</t>
        </is>
      </c>
    </row>
    <row r="10" ht="20" customHeight="1">
      <c r="A10" s="9" t="inlineStr">
        <is>
          <t xml:space="preserve">  1.5 Omnichannel CS Concierge (Gemini Flash)</t>
        </is>
      </c>
      <c r="B10" s="10">
        <f>SUM('Projeção Mensal (51 Meses)'!B14:D14)</f>
        <v/>
      </c>
      <c r="C10" s="10">
        <f>SUM('Projeção Mensal (51 Meses)'!E14:P14)</f>
        <v/>
      </c>
      <c r="D10" s="10">
        <f>SUM('Projeção Mensal (51 Meses)'!Q14:AB14)</f>
        <v/>
      </c>
      <c r="E10" s="10">
        <f>SUM('Projeção Mensal (51 Meses)'!AC14:AN14)</f>
        <v/>
      </c>
      <c r="F10" s="10">
        <f>SUM('Projeção Mensal (51 Meses)'!AO14:AZ14)</f>
        <v/>
      </c>
      <c r="G10" s="10">
        <f>SUM(B10:F10)</f>
        <v/>
      </c>
      <c r="H10" s="11">
        <f>G10/$G$36</f>
        <v/>
      </c>
      <c r="I10" s="12" t="inlineStr">
        <is>
          <t>-</t>
        </is>
      </c>
    </row>
    <row r="11" ht="20" customHeight="1">
      <c r="A11" s="9" t="inlineStr">
        <is>
          <t xml:space="preserve">  1.6 Partner &amp; VIP Co-Pilot (Gemini Flash)</t>
        </is>
      </c>
      <c r="B11" s="10">
        <f>SUM('Projeção Mensal (51 Meses)'!B15:D15)</f>
        <v/>
      </c>
      <c r="C11" s="10">
        <f>SUM('Projeção Mensal (51 Meses)'!E15:P15)</f>
        <v/>
      </c>
      <c r="D11" s="10">
        <f>SUM('Projeção Mensal (51 Meses)'!Q15:AB15)</f>
        <v/>
      </c>
      <c r="E11" s="10">
        <f>SUM('Projeção Mensal (51 Meses)'!AC15:AN15)</f>
        <v/>
      </c>
      <c r="F11" s="10">
        <f>SUM('Projeção Mensal (51 Meses)'!AO15:AZ15)</f>
        <v/>
      </c>
      <c r="G11" s="10">
        <f>SUM(B11:F11)</f>
        <v/>
      </c>
      <c r="H11" s="11">
        <f>G11/$G$36</f>
        <v/>
      </c>
      <c r="I11" s="12" t="inlineStr">
        <is>
          <t>-</t>
        </is>
      </c>
    </row>
    <row r="12" ht="20" customHeight="1">
      <c r="A12" s="9" t="inlineStr">
        <is>
          <t xml:space="preserve">  1.7 Wearables Telemetry &amp; Sensor AI (Lite)</t>
        </is>
      </c>
      <c r="B12" s="10">
        <f>SUM('Projeção Mensal (51 Meses)'!B16:D16)</f>
        <v/>
      </c>
      <c r="C12" s="10">
        <f>SUM('Projeção Mensal (51 Meses)'!E16:P16)</f>
        <v/>
      </c>
      <c r="D12" s="10">
        <f>SUM('Projeção Mensal (51 Meses)'!Q16:AB16)</f>
        <v/>
      </c>
      <c r="E12" s="10">
        <f>SUM('Projeção Mensal (51 Meses)'!AC16:AN16)</f>
        <v/>
      </c>
      <c r="F12" s="10">
        <f>SUM('Projeção Mensal (51 Meses)'!AO16:AZ16)</f>
        <v/>
      </c>
      <c r="G12" s="10">
        <f>SUM(B12:F12)</f>
        <v/>
      </c>
      <c r="H12" s="11">
        <f>G12/$G$36</f>
        <v/>
      </c>
      <c r="I12" s="12" t="inlineStr">
        <is>
          <t>-</t>
        </is>
      </c>
    </row>
    <row r="13" ht="20" customHeight="1">
      <c r="A13" s="9" t="inlineStr">
        <is>
          <t xml:space="preserve">  1.8 Executive BI &amp; Insights Miner (Gemini Pro)</t>
        </is>
      </c>
      <c r="B13" s="10">
        <f>SUM('Projeção Mensal (51 Meses)'!B17:D17)</f>
        <v/>
      </c>
      <c r="C13" s="10">
        <f>SUM('Projeção Mensal (51 Meses)'!E17:P17)</f>
        <v/>
      </c>
      <c r="D13" s="10">
        <f>SUM('Projeção Mensal (51 Meses)'!Q17:AB17)</f>
        <v/>
      </c>
      <c r="E13" s="10">
        <f>SUM('Projeção Mensal (51 Meses)'!AC17:AN17)</f>
        <v/>
      </c>
      <c r="F13" s="10">
        <f>SUM('Projeção Mensal (51 Meses)'!AO17:AZ17)</f>
        <v/>
      </c>
      <c r="G13" s="10">
        <f>SUM(B13:F13)</f>
        <v/>
      </c>
      <c r="H13" s="11">
        <f>G13/$G$36</f>
        <v/>
      </c>
      <c r="I13" s="12" t="inlineStr">
        <is>
          <t>-</t>
        </is>
      </c>
    </row>
    <row r="14" ht="20" customHeight="1">
      <c r="A14" s="5" t="inlineStr">
        <is>
          <t>2. Infraestrutura de TI &amp; Cloud (Compute &amp; Edge)</t>
        </is>
      </c>
      <c r="B14" s="6">
        <f>SUM('Projeção Mensal (51 Meses)'!B18:D18)</f>
        <v/>
      </c>
      <c r="C14" s="6">
        <f>SUM('Projeção Mensal (51 Meses)'!E18:P18)</f>
        <v/>
      </c>
      <c r="D14" s="6">
        <f>SUM('Projeção Mensal (51 Meses)'!Q18:AB18)</f>
        <v/>
      </c>
      <c r="E14" s="6">
        <f>SUM('Projeção Mensal (51 Meses)'!AC18:AN18)</f>
        <v/>
      </c>
      <c r="F14" s="6">
        <f>SUM('Projeção Mensal (51 Meses)'!AO18:AZ18)</f>
        <v/>
      </c>
      <c r="G14" s="6">
        <f>SUM(B14:F14)</f>
        <v/>
      </c>
      <c r="H14" s="7">
        <f>G14/$G$36</f>
        <v/>
      </c>
      <c r="I14" s="8" t="n">
        <v>598467</v>
      </c>
    </row>
    <row r="15" ht="20" customHeight="1">
      <c r="A15" s="9" t="inlineStr">
        <is>
          <t xml:space="preserve">  2.1 Compute Serverless &amp; Containers (Cloud Run CUD)</t>
        </is>
      </c>
      <c r="B15" s="10">
        <f>SUM('Projeção Mensal (51 Meses)'!B19:D19)</f>
        <v/>
      </c>
      <c r="C15" s="10">
        <f>SUM('Projeção Mensal (51 Meses)'!E19:P19)</f>
        <v/>
      </c>
      <c r="D15" s="10">
        <f>SUM('Projeção Mensal (51 Meses)'!Q19:AB19)</f>
        <v/>
      </c>
      <c r="E15" s="10">
        <f>SUM('Projeção Mensal (51 Meses)'!AC19:AN19)</f>
        <v/>
      </c>
      <c r="F15" s="10">
        <f>SUM('Projeção Mensal (51 Meses)'!AO19:AZ19)</f>
        <v/>
      </c>
      <c r="G15" s="10">
        <f>SUM(B15:F15)</f>
        <v/>
      </c>
      <c r="H15" s="11">
        <f>G15/$G$36</f>
        <v/>
      </c>
      <c r="I15" s="12" t="inlineStr">
        <is>
          <t>-</t>
        </is>
      </c>
    </row>
    <row r="16" ht="20" customHeight="1">
      <c r="A16" s="9" t="inlineStr">
        <is>
          <t xml:space="preserve">  2.2 Edge Computing, CDN &amp; WAF (Cloudflare + GCS)</t>
        </is>
      </c>
      <c r="B16" s="10">
        <f>SUM('Projeção Mensal (51 Meses)'!B20:D20)</f>
        <v/>
      </c>
      <c r="C16" s="10">
        <f>SUM('Projeção Mensal (51 Meses)'!E20:P20)</f>
        <v/>
      </c>
      <c r="D16" s="10">
        <f>SUM('Projeção Mensal (51 Meses)'!Q20:AB20)</f>
        <v/>
      </c>
      <c r="E16" s="10">
        <f>SUM('Projeção Mensal (51 Meses)'!AC20:AN20)</f>
        <v/>
      </c>
      <c r="F16" s="10">
        <f>SUM('Projeção Mensal (51 Meses)'!AO20:AZ20)</f>
        <v/>
      </c>
      <c r="G16" s="10">
        <f>SUM(B16:F16)</f>
        <v/>
      </c>
      <c r="H16" s="11">
        <f>G16/$G$36</f>
        <v/>
      </c>
      <c r="I16" s="12" t="inlineStr">
        <is>
          <t>-</t>
        </is>
      </c>
    </row>
    <row r="17" ht="20" customHeight="1">
      <c r="A17" s="9" t="inlineStr">
        <is>
          <t xml:space="preserve">  2.3 API Gateways, LB &amp; DNS (Google Cloud LB)</t>
        </is>
      </c>
      <c r="B17" s="10">
        <f>SUM('Projeção Mensal (51 Meses)'!B21:D21)</f>
        <v/>
      </c>
      <c r="C17" s="10">
        <f>SUM('Projeção Mensal (51 Meses)'!E21:P21)</f>
        <v/>
      </c>
      <c r="D17" s="10">
        <f>SUM('Projeção Mensal (51 Meses)'!Q21:AB21)</f>
        <v/>
      </c>
      <c r="E17" s="10">
        <f>SUM('Projeção Mensal (51 Meses)'!AC21:AN21)</f>
        <v/>
      </c>
      <c r="F17" s="10">
        <f>SUM('Projeção Mensal (51 Meses)'!AO21:AZ21)</f>
        <v/>
      </c>
      <c r="G17" s="10">
        <f>SUM(B17:F17)</f>
        <v/>
      </c>
      <c r="H17" s="11">
        <f>G17/$G$36</f>
        <v/>
      </c>
      <c r="I17" s="12" t="inlineStr">
        <is>
          <t>-</t>
        </is>
      </c>
    </row>
    <row r="18" ht="20" customHeight="1">
      <c r="A18" s="5" t="inlineStr">
        <is>
          <t>3. Estrutura de Dados, Ledger &amp; Analytics</t>
        </is>
      </c>
      <c r="B18" s="6">
        <f>SUM('Projeção Mensal (51 Meses)'!B22:D22)</f>
        <v/>
      </c>
      <c r="C18" s="6">
        <f>SUM('Projeção Mensal (51 Meses)'!E22:P22)</f>
        <v/>
      </c>
      <c r="D18" s="6">
        <f>SUM('Projeção Mensal (51 Meses)'!Q22:AB22)</f>
        <v/>
      </c>
      <c r="E18" s="6">
        <f>SUM('Projeção Mensal (51 Meses)'!AC22:AN22)</f>
        <v/>
      </c>
      <c r="F18" s="6">
        <f>SUM('Projeção Mensal (51 Meses)'!AO22:AZ22)</f>
        <v/>
      </c>
      <c r="G18" s="6">
        <f>SUM(B18:F18)</f>
        <v/>
      </c>
      <c r="H18" s="7">
        <f>G18/$G$36</f>
        <v/>
      </c>
      <c r="I18" s="8" t="n">
        <v>505139.77</v>
      </c>
    </row>
    <row r="19" ht="20" customHeight="1">
      <c r="A19" s="9" t="inlineStr">
        <is>
          <t xml:space="preserve">  3.1 Banco Relacional OLTP &amp; Ledger (AlloyDB + PgBouncer)</t>
        </is>
      </c>
      <c r="B19" s="10">
        <f>SUM('Projeção Mensal (51 Meses)'!B23:D23)</f>
        <v/>
      </c>
      <c r="C19" s="10">
        <f>SUM('Projeção Mensal (51 Meses)'!E23:P23)</f>
        <v/>
      </c>
      <c r="D19" s="10">
        <f>SUM('Projeção Mensal (51 Meses)'!Q23:AB23)</f>
        <v/>
      </c>
      <c r="E19" s="10">
        <f>SUM('Projeção Mensal (51 Meses)'!AC23:AN23)</f>
        <v/>
      </c>
      <c r="F19" s="10">
        <f>SUM('Projeção Mensal (51 Meses)'!AO23:AZ23)</f>
        <v/>
      </c>
      <c r="G19" s="10">
        <f>SUM(B19:F19)</f>
        <v/>
      </c>
      <c r="H19" s="11">
        <f>G19/$G$36</f>
        <v/>
      </c>
      <c r="I19" s="12" t="inlineStr">
        <is>
          <t>-</t>
        </is>
      </c>
    </row>
    <row r="20" ht="20" customHeight="1">
      <c r="A20" s="9" t="inlineStr">
        <is>
          <t xml:space="preserve">  3.2 Cache In-Memory &amp; Redis (Upstash Redis)</t>
        </is>
      </c>
      <c r="B20" s="10">
        <f>SUM('Projeção Mensal (51 Meses)'!B24:D24)</f>
        <v/>
      </c>
      <c r="C20" s="10">
        <f>SUM('Projeção Mensal (51 Meses)'!E24:P24)</f>
        <v/>
      </c>
      <c r="D20" s="10">
        <f>SUM('Projeção Mensal (51 Meses)'!Q24:AB24)</f>
        <v/>
      </c>
      <c r="E20" s="10">
        <f>SUM('Projeção Mensal (51 Meses)'!AC24:AN24)</f>
        <v/>
      </c>
      <c r="F20" s="10">
        <f>SUM('Projeção Mensal (51 Meses)'!AO24:AZ24)</f>
        <v/>
      </c>
      <c r="G20" s="10">
        <f>SUM(B20:F20)</f>
        <v/>
      </c>
      <c r="H20" s="11">
        <f>G20/$G$36</f>
        <v/>
      </c>
      <c r="I20" s="12" t="inlineStr">
        <is>
          <t>-</t>
        </is>
      </c>
    </row>
    <row r="21" ht="20" customHeight="1">
      <c r="A21" s="9" t="inlineStr">
        <is>
          <t xml:space="preserve">  3.3 Data Warehouse &amp; Lakehouse (BigQuery / Iceberg)</t>
        </is>
      </c>
      <c r="B21" s="10">
        <f>SUM('Projeção Mensal (51 Meses)'!B25:D25)</f>
        <v/>
      </c>
      <c r="C21" s="10">
        <f>SUM('Projeção Mensal (51 Meses)'!E25:P25)</f>
        <v/>
      </c>
      <c r="D21" s="10">
        <f>SUM('Projeção Mensal (51 Meses)'!Q25:AB25)</f>
        <v/>
      </c>
      <c r="E21" s="10">
        <f>SUM('Projeção Mensal (51 Meses)'!AC25:AN25)</f>
        <v/>
      </c>
      <c r="F21" s="10">
        <f>SUM('Projeção Mensal (51 Meses)'!AO25:AZ25)</f>
        <v/>
      </c>
      <c r="G21" s="10">
        <f>SUM(B21:F21)</f>
        <v/>
      </c>
      <c r="H21" s="11">
        <f>G21/$G$36</f>
        <v/>
      </c>
      <c r="I21" s="12" t="inlineStr">
        <is>
          <t>-</t>
        </is>
      </c>
    </row>
    <row r="22" ht="20" customHeight="1">
      <c r="A22" s="9" t="inlineStr">
        <is>
          <t xml:space="preserve">  3.4 Vector Database &amp; Embeddings (Pgvector)</t>
        </is>
      </c>
      <c r="B22" s="10">
        <f>SUM('Projeção Mensal (51 Meses)'!B26:D26)</f>
        <v/>
      </c>
      <c r="C22" s="10">
        <f>SUM('Projeção Mensal (51 Meses)'!E26:P26)</f>
        <v/>
      </c>
      <c r="D22" s="10">
        <f>SUM('Projeção Mensal (51 Meses)'!Q26:AB26)</f>
        <v/>
      </c>
      <c r="E22" s="10">
        <f>SUM('Projeção Mensal (51 Meses)'!AC26:AN26)</f>
        <v/>
      </c>
      <c r="F22" s="10">
        <f>SUM('Projeção Mensal (51 Meses)'!AO26:AZ26)</f>
        <v/>
      </c>
      <c r="G22" s="10">
        <f>SUM(B22:F22)</f>
        <v/>
      </c>
      <c r="H22" s="11">
        <f>G22/$G$36</f>
        <v/>
      </c>
      <c r="I22" s="12" t="inlineStr">
        <is>
          <t>-</t>
        </is>
      </c>
    </row>
    <row r="23" ht="20" customHeight="1">
      <c r="A23" s="5" t="inlineStr">
        <is>
          <t>4. CRM, Comunicação &amp; Mensageria Omnichannel</t>
        </is>
      </c>
      <c r="B23" s="6">
        <f>SUM('Projeção Mensal (51 Meses)'!B27:D27)</f>
        <v/>
      </c>
      <c r="C23" s="6">
        <f>SUM('Projeção Mensal (51 Meses)'!E27:P27)</f>
        <v/>
      </c>
      <c r="D23" s="6">
        <f>SUM('Projeção Mensal (51 Meses)'!Q27:AB27)</f>
        <v/>
      </c>
      <c r="E23" s="6">
        <f>SUM('Projeção Mensal (51 Meses)'!AC27:AN27)</f>
        <v/>
      </c>
      <c r="F23" s="6">
        <f>SUM('Projeção Mensal (51 Meses)'!AO27:AZ27)</f>
        <v/>
      </c>
      <c r="G23" s="6">
        <f>SUM(B23:F23)</f>
        <v/>
      </c>
      <c r="H23" s="7">
        <f>G23/$G$36</f>
        <v/>
      </c>
      <c r="I23" s="8" t="n">
        <v>193625.67</v>
      </c>
    </row>
    <row r="24" ht="20" customHeight="1">
      <c r="A24" s="9" t="inlineStr">
        <is>
          <t xml:space="preserve">  4.1 WhatsApp Business API Transacional (Meta API)</t>
        </is>
      </c>
      <c r="B24" s="10">
        <f>SUM('Projeção Mensal (51 Meses)'!B28:D28)</f>
        <v/>
      </c>
      <c r="C24" s="10">
        <f>SUM('Projeção Mensal (51 Meses)'!E28:P28)</f>
        <v/>
      </c>
      <c r="D24" s="10">
        <f>SUM('Projeção Mensal (51 Meses)'!Q28:AB28)</f>
        <v/>
      </c>
      <c r="E24" s="10">
        <f>SUM('Projeção Mensal (51 Meses)'!AC28:AN28)</f>
        <v/>
      </c>
      <c r="F24" s="10">
        <f>SUM('Projeção Mensal (51 Meses)'!AO28:AZ28)</f>
        <v/>
      </c>
      <c r="G24" s="10">
        <f>SUM(B24:F24)</f>
        <v/>
      </c>
      <c r="H24" s="11">
        <f>G24/$G$36</f>
        <v/>
      </c>
      <c r="I24" s="12" t="inlineStr">
        <is>
          <t>-</t>
        </is>
      </c>
    </row>
    <row r="25" ht="20" customHeight="1">
      <c r="A25" s="9" t="inlineStr">
        <is>
          <t xml:space="preserve">  4.2 Push Notifications &amp; Email (FCM + SendGrid)</t>
        </is>
      </c>
      <c r="B25" s="10">
        <f>SUM('Projeção Mensal (51 Meses)'!B29:D29)</f>
        <v/>
      </c>
      <c r="C25" s="10">
        <f>SUM('Projeção Mensal (51 Meses)'!E29:P29)</f>
        <v/>
      </c>
      <c r="D25" s="10">
        <f>SUM('Projeção Mensal (51 Meses)'!Q29:AB29)</f>
        <v/>
      </c>
      <c r="E25" s="10">
        <f>SUM('Projeção Mensal (51 Meses)'!AC29:AN29)</f>
        <v/>
      </c>
      <c r="F25" s="10">
        <f>SUM('Projeção Mensal (51 Meses)'!AO29:AZ29)</f>
        <v/>
      </c>
      <c r="G25" s="10">
        <f>SUM(B25:F25)</f>
        <v/>
      </c>
      <c r="H25" s="11">
        <f>G25/$G$36</f>
        <v/>
      </c>
      <c r="I25" s="12" t="inlineStr">
        <is>
          <t>-</t>
        </is>
      </c>
    </row>
    <row r="26" ht="20" customHeight="1">
      <c r="A26" s="9" t="inlineStr">
        <is>
          <t xml:space="preserve">  4.3 Autenticação 2FA &amp; SMS (Twilio + Firebase Auth)</t>
        </is>
      </c>
      <c r="B26" s="10">
        <f>SUM('Projeção Mensal (51 Meses)'!B30:D30)</f>
        <v/>
      </c>
      <c r="C26" s="10">
        <f>SUM('Projeção Mensal (51 Meses)'!E30:P30)</f>
        <v/>
      </c>
      <c r="D26" s="10">
        <f>SUM('Projeção Mensal (51 Meses)'!Q30:AB30)</f>
        <v/>
      </c>
      <c r="E26" s="10">
        <f>SUM('Projeção Mensal (51 Meses)'!AC30:AN30)</f>
        <v/>
      </c>
      <c r="F26" s="10">
        <f>SUM('Projeção Mensal (51 Meses)'!AO30:AZ30)</f>
        <v/>
      </c>
      <c r="G26" s="10">
        <f>SUM(B26:F26)</f>
        <v/>
      </c>
      <c r="H26" s="11">
        <f>G26/$G$36</f>
        <v/>
      </c>
      <c r="I26" s="12" t="inlineStr">
        <is>
          <t>-</t>
        </is>
      </c>
    </row>
    <row r="27" ht="20" customHeight="1">
      <c r="A27" s="5" t="inlineStr">
        <is>
          <t>5. Segurança, Observabilidade &amp; Ferramentas FinOps</t>
        </is>
      </c>
      <c r="B27" s="6">
        <f>SUM('Projeção Mensal (51 Meses)'!B31:D31)</f>
        <v/>
      </c>
      <c r="C27" s="6">
        <f>SUM('Projeção Mensal (51 Meses)'!E31:P31)</f>
        <v/>
      </c>
      <c r="D27" s="6">
        <f>SUM('Projeção Mensal (51 Meses)'!Q31:AB31)</f>
        <v/>
      </c>
      <c r="E27" s="6">
        <f>SUM('Projeção Mensal (51 Meses)'!AC31:AN31)</f>
        <v/>
      </c>
      <c r="F27" s="6">
        <f>SUM('Projeção Mensal (51 Meses)'!AO31:AZ31)</f>
        <v/>
      </c>
      <c r="G27" s="6">
        <f>SUM(B27:F27)</f>
        <v/>
      </c>
      <c r="H27" s="7">
        <f>G27/$G$36</f>
        <v/>
      </c>
      <c r="I27" s="8" t="n">
        <v>184767.11</v>
      </c>
    </row>
    <row r="28" ht="20" customHeight="1">
      <c r="A28" s="9" t="inlineStr">
        <is>
          <t xml:space="preserve">  5.1 Observabilidade &amp; APM (OpenTelemetry / Datadog)</t>
        </is>
      </c>
      <c r="B28" s="10">
        <f>SUM('Projeção Mensal (51 Meses)'!B32:D32)</f>
        <v/>
      </c>
      <c r="C28" s="10">
        <f>SUM('Projeção Mensal (51 Meses)'!E32:P32)</f>
        <v/>
      </c>
      <c r="D28" s="10">
        <f>SUM('Projeção Mensal (51 Meses)'!Q32:AB32)</f>
        <v/>
      </c>
      <c r="E28" s="10">
        <f>SUM('Projeção Mensal (51 Meses)'!AC32:AN32)</f>
        <v/>
      </c>
      <c r="F28" s="10">
        <f>SUM('Projeção Mensal (51 Meses)'!AO32:AZ32)</f>
        <v/>
      </c>
      <c r="G28" s="10">
        <f>SUM(B28:F28)</f>
        <v/>
      </c>
      <c r="H28" s="11">
        <f>G28/$G$36</f>
        <v/>
      </c>
      <c r="I28" s="12" t="inlineStr">
        <is>
          <t>-</t>
        </is>
      </c>
    </row>
    <row r="29" ht="20" customHeight="1">
      <c r="A29" s="9" t="inlineStr">
        <is>
          <t xml:space="preserve">  5.2 Segurança, SSL, WAF &amp; SecOps (Security Cmd Center)</t>
        </is>
      </c>
      <c r="B29" s="10">
        <f>SUM('Projeção Mensal (51 Meses)'!B33:D33)</f>
        <v/>
      </c>
      <c r="C29" s="10">
        <f>SUM('Projeção Mensal (51 Meses)'!E33:P33)</f>
        <v/>
      </c>
      <c r="D29" s="10">
        <f>SUM('Projeção Mensal (51 Meses)'!Q33:AB33)</f>
        <v/>
      </c>
      <c r="E29" s="10">
        <f>SUM('Projeção Mensal (51 Meses)'!AC33:AN33)</f>
        <v/>
      </c>
      <c r="F29" s="10">
        <f>SUM('Projeção Mensal (51 Meses)'!AO33:AZ33)</f>
        <v/>
      </c>
      <c r="G29" s="10">
        <f>SUM(B29:F29)</f>
        <v/>
      </c>
      <c r="H29" s="11">
        <f>G29/$G$36</f>
        <v/>
      </c>
      <c r="I29" s="12" t="inlineStr">
        <is>
          <t>-</t>
        </is>
      </c>
    </row>
    <row r="30" ht="24" customHeight="1">
      <c r="A30" s="13" t="inlineStr">
        <is>
          <t>💰 TOTAL TECNOLOGIA &amp; FINOPS NETFITS</t>
        </is>
      </c>
      <c r="B30" s="14">
        <f>B5+B14+B18+B23+B27</f>
        <v/>
      </c>
      <c r="C30" s="14">
        <f>C5+C14+C18+C23+C27</f>
        <v/>
      </c>
      <c r="D30" s="14">
        <f>D5+D14+D18+D23+D27</f>
        <v/>
      </c>
      <c r="E30" s="14">
        <f>E5+E14+E18+E23+E27</f>
        <v/>
      </c>
      <c r="F30" s="14">
        <f>F5+F14+F18+F23+F27</f>
        <v/>
      </c>
      <c r="G30" s="14">
        <f>G5+G14+G18+G23+G27</f>
        <v/>
      </c>
      <c r="H30" s="15">
        <f>G30/$G$36</f>
        <v/>
      </c>
      <c r="I30" s="14">
        <f>SUM(I5, I14, I18, I23, I27) + 1100000</f>
        <v/>
      </c>
    </row>
    <row r="31" ht="20" customHeight="1">
      <c r="A31" s="16" t="inlineStr">
        <is>
          <t>(-) Subsídios Google Cloud Startup Program (Créditos de Nuvem &amp; IA)</t>
        </is>
      </c>
      <c r="B31" s="17">
        <f>-B30</f>
        <v/>
      </c>
      <c r="C31" s="17">
        <f>-C30</f>
        <v/>
      </c>
      <c r="D31" s="17" t="n">
        <v>0</v>
      </c>
      <c r="E31" s="17" t="n">
        <v>0</v>
      </c>
      <c r="F31" s="17" t="n">
        <v>0</v>
      </c>
      <c r="G31" s="17">
        <f>SUM(B31:F31)</f>
        <v/>
      </c>
      <c r="H31" s="18">
        <f>G31/$G$36</f>
        <v/>
      </c>
      <c r="I31" s="17" t="n">
        <v>1100000</v>
      </c>
    </row>
    <row r="32" ht="24" customHeight="1">
      <c r="A32" s="19" t="inlineStr">
        <is>
          <t>💵 DESEMBOLSO LÍQUIDO EFETIVO DE CAIXA (NET CASH OPEX)</t>
        </is>
      </c>
      <c r="B32" s="20">
        <f>MAX(0, B30 + B31)</f>
        <v/>
      </c>
      <c r="C32" s="20">
        <f>MAX(0, C30 + C31)</f>
        <v/>
      </c>
      <c r="D32" s="20">
        <f>MAX(0, D30 + D31)</f>
        <v/>
      </c>
      <c r="E32" s="20">
        <f>MAX(0, E30 + E31)</f>
        <v/>
      </c>
      <c r="F32" s="20">
        <f>MAX(0, F30 + F31)</f>
        <v/>
      </c>
      <c r="G32" s="20">
        <f>SUM(B32:F32)</f>
        <v/>
      </c>
      <c r="H32" s="21">
        <f>G32/$G$36</f>
        <v/>
      </c>
      <c r="I32" s="20">
        <f>I30</f>
        <v/>
      </c>
    </row>
    <row r="33" ht="12" customHeight="1"/>
    <row r="34" ht="20" customHeight="1">
      <c r="A34" s="22" t="inlineStr">
        <is>
          <t>Base de Usuários Cadastrados (Pico do Exercício)</t>
        </is>
      </c>
      <c r="B34" s="23" t="n">
        <v>35000</v>
      </c>
      <c r="C34" s="23" t="n">
        <v>550000</v>
      </c>
      <c r="D34" s="23" t="n">
        <v>1500000</v>
      </c>
      <c r="E34" s="23" t="n">
        <v>2400000</v>
      </c>
      <c r="F34" s="23" t="n">
        <v>3000000</v>
      </c>
      <c r="G34" s="23" t="n">
        <v>3000000</v>
      </c>
      <c r="H34" s="24" t="inlineStr">
        <is>
          <t>-</t>
        </is>
      </c>
      <c r="I34" s="24" t="inlineStr">
        <is>
          <t>-</t>
        </is>
      </c>
    </row>
    <row r="35" ht="20" customHeight="1">
      <c r="A35" s="22" t="inlineStr">
        <is>
          <t>Usuários Ativos Mensais (MAU Médio)</t>
        </is>
      </c>
      <c r="B35" s="23" t="n">
        <v>5600</v>
      </c>
      <c r="C35" s="23" t="n">
        <v>88000</v>
      </c>
      <c r="D35" s="23" t="n">
        <v>240000</v>
      </c>
      <c r="E35" s="23" t="n">
        <v>384000</v>
      </c>
      <c r="F35" s="23" t="n">
        <v>480000</v>
      </c>
      <c r="G35" s="23" t="n">
        <v>288000</v>
      </c>
      <c r="H35" s="24" t="inlineStr">
        <is>
          <t>-</t>
        </is>
      </c>
      <c r="I35" s="24" t="inlineStr">
        <is>
          <t>-</t>
        </is>
      </c>
    </row>
    <row r="36" ht="20" customHeight="1">
      <c r="A36" s="22" t="inlineStr">
        <is>
          <t>Receita Bruta Projetada (R$)</t>
        </is>
      </c>
      <c r="B36" s="25" t="n">
        <v>451848</v>
      </c>
      <c r="C36" s="25" t="n">
        <v>29467545</v>
      </c>
      <c r="D36" s="25" t="n">
        <v>74015420</v>
      </c>
      <c r="E36" s="25" t="n">
        <v>103456890</v>
      </c>
      <c r="F36" s="25" t="n">
        <v>131058716</v>
      </c>
      <c r="G36" s="25">
        <f>SUM(B36:F36)</f>
        <v/>
      </c>
      <c r="H36" s="24" t="inlineStr">
        <is>
          <t>-</t>
        </is>
      </c>
      <c r="I36" s="24" t="inlineStr">
        <is>
          <t>-</t>
        </is>
      </c>
    </row>
    <row r="37" ht="20" customHeight="1">
      <c r="A37" s="22" t="inlineStr">
        <is>
          <t>Custo Médio Mensal de TI (R$ / mês)</t>
        </is>
      </c>
      <c r="B37" s="25">
        <f>B30/3</f>
        <v/>
      </c>
      <c r="C37" s="25">
        <f>C30/12</f>
        <v/>
      </c>
      <c r="D37" s="25">
        <f>D30/12</f>
        <v/>
      </c>
      <c r="E37" s="25">
        <f>E30/12</f>
        <v/>
      </c>
      <c r="F37" s="25">
        <f>F30/12</f>
        <v/>
      </c>
      <c r="G37" s="25">
        <f>G30/51</f>
        <v/>
      </c>
      <c r="H37" s="24" t="inlineStr">
        <is>
          <t>-</t>
        </is>
      </c>
      <c r="I37" s="24" t="inlineStr">
        <is>
          <t>-</t>
        </is>
      </c>
    </row>
    <row r="38" ht="20" customHeight="1">
      <c r="A38" s="22" t="inlineStr">
        <is>
          <t>Custo Unitário de TI por Usuário Ativo (R$ / MAU / mês)</t>
        </is>
      </c>
      <c r="B38" s="26">
        <f>B37/B35</f>
        <v/>
      </c>
      <c r="C38" s="26">
        <f>C37/C35</f>
        <v/>
      </c>
      <c r="D38" s="26">
        <f>D37/D35</f>
        <v/>
      </c>
      <c r="E38" s="26">
        <f>E37/E35</f>
        <v/>
      </c>
      <c r="F38" s="26">
        <f>F37/F35</f>
        <v/>
      </c>
      <c r="G38" s="26">
        <f>G37/G35</f>
        <v/>
      </c>
      <c r="H38" s="24" t="inlineStr">
        <is>
          <t>-</t>
        </is>
      </c>
      <c r="I38" s="24" t="inlineStr">
        <is>
          <t>-</t>
        </is>
      </c>
    </row>
    <row r="39" ht="20" customHeight="1">
      <c r="A39" s="22" t="inlineStr">
        <is>
          <t>Custo de TI sobre a Receita Bruta (%)</t>
        </is>
      </c>
      <c r="B39" s="27">
        <f>B30/B36</f>
        <v/>
      </c>
      <c r="C39" s="27">
        <f>C30/C36</f>
        <v/>
      </c>
      <c r="D39" s="27">
        <f>D30/D36</f>
        <v/>
      </c>
      <c r="E39" s="27">
        <f>E30/E36</f>
        <v/>
      </c>
      <c r="F39" s="27">
        <f>F30/F36</f>
        <v/>
      </c>
      <c r="G39" s="27">
        <f>G30/G36</f>
        <v/>
      </c>
      <c r="H39" s="24" t="inlineStr">
        <is>
          <t>-</t>
        </is>
      </c>
      <c r="I39" s="24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9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3.5" customWidth="1" min="18" max="18"/>
    <col width="13.5" customWidth="1" min="19" max="19"/>
    <col width="13.5" customWidth="1" min="20" max="20"/>
    <col width="13.5" customWidth="1" min="21" max="21"/>
    <col width="13.5" customWidth="1" min="22" max="22"/>
    <col width="13.5" customWidth="1" min="23" max="23"/>
    <col width="13.5" customWidth="1" min="24" max="24"/>
    <col width="13.5" customWidth="1" min="25" max="25"/>
    <col width="13.5" customWidth="1" min="26" max="26"/>
    <col width="13.5" customWidth="1" min="27" max="27"/>
    <col width="13.5" customWidth="1" min="28" max="28"/>
    <col width="13.5" customWidth="1" min="29" max="29"/>
    <col width="13.5" customWidth="1" min="30" max="30"/>
    <col width="13.5" customWidth="1" min="31" max="31"/>
    <col width="13.5" customWidth="1" min="32" max="32"/>
    <col width="13.5" customWidth="1" min="33" max="33"/>
    <col width="13.5" customWidth="1" min="34" max="34"/>
    <col width="13.5" customWidth="1" min="35" max="35"/>
    <col width="13.5" customWidth="1" min="36" max="36"/>
    <col width="13.5" customWidth="1" min="37" max="37"/>
    <col width="13.5" customWidth="1" min="38" max="38"/>
    <col width="13.5" customWidth="1" min="39" max="39"/>
    <col width="13.5" customWidth="1" min="40" max="40"/>
    <col width="13.5" customWidth="1" min="41" max="41"/>
    <col width="13.5" customWidth="1" min="42" max="42"/>
    <col width="13.5" customWidth="1" min="43" max="43"/>
    <col width="13.5" customWidth="1" min="44" max="44"/>
    <col width="13.5" customWidth="1" min="45" max="45"/>
    <col width="13.5" customWidth="1" min="46" max="46"/>
    <col width="13.5" customWidth="1" min="47" max="47"/>
    <col width="13.5" customWidth="1" min="48" max="48"/>
    <col width="13.5" customWidth="1" min="49" max="49"/>
    <col width="13.5" customWidth="1" min="50" max="50"/>
    <col width="13.5" customWidth="1" min="51" max="51"/>
    <col width="13.5" customWidth="1" min="52" max="52"/>
    <col width="13.5" customWidth="1" min="53" max="53"/>
    <col width="13.5" customWidth="1" min="54" max="54"/>
  </cols>
  <sheetData>
    <row r="1" ht="36" customHeight="1">
      <c r="A1" s="1" t="inlineStr">
        <is>
          <t>NETFITS PLATAFORMA DIGITAL S.A. — DETALHAMENTO MENSAL DE CUSTOS DE TECNOLOGIA &amp; FINOPS (OUT/26 A DEZ/30)</t>
        </is>
      </c>
    </row>
    <row r="2" ht="20" customHeight="1">
      <c r="A2" s="2" t="inlineStr">
        <is>
          <t>Modelagem Financeira de Hiperescala (51 Meses) · Google Cloud Startup Program · Idempotência de Webhooks · Teto de Badges 50 NFs</t>
        </is>
      </c>
    </row>
    <row r="4" ht="26" customHeight="1">
      <c r="A4" s="3" t="inlineStr">
        <is>
          <t>Conta DRE / Família FinOps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28" t="inlineStr">
        <is>
          <t>TOTAL (51M)</t>
        </is>
      </c>
      <c r="BB4" s="29" t="inlineStr">
        <is>
          <t>MÉDIA MENSAL</t>
        </is>
      </c>
    </row>
    <row r="5" ht="20" customHeight="1">
      <c r="A5" s="30" t="inlineStr">
        <is>
          <t>Base de Usuários Cadastrados</t>
        </is>
      </c>
      <c r="B5" s="31" t="n">
        <v>0</v>
      </c>
      <c r="C5" s="31" t="n">
        <v>0</v>
      </c>
      <c r="D5" s="31" t="n">
        <v>0</v>
      </c>
      <c r="E5" s="31" t="n">
        <v>0</v>
      </c>
      <c r="F5" s="31" t="n">
        <v>0</v>
      </c>
      <c r="G5" s="31" t="n">
        <v>0</v>
      </c>
      <c r="H5" s="31" t="n">
        <v>0</v>
      </c>
      <c r="I5" s="31" t="n">
        <v>0</v>
      </c>
      <c r="J5" s="31" t="n">
        <v>0</v>
      </c>
      <c r="K5" s="31" t="n">
        <v>0</v>
      </c>
      <c r="L5" s="31" t="n">
        <v>0</v>
      </c>
      <c r="M5" s="31" t="n">
        <v>0</v>
      </c>
      <c r="N5" s="31" t="n">
        <v>0</v>
      </c>
      <c r="O5" s="31" t="n">
        <v>0</v>
      </c>
      <c r="P5" s="31" t="n">
        <v>0</v>
      </c>
      <c r="Q5" s="31" t="n">
        <v>0</v>
      </c>
      <c r="R5" s="31" t="n">
        <v>0</v>
      </c>
      <c r="S5" s="31" t="n">
        <v>0</v>
      </c>
      <c r="T5" s="31" t="n">
        <v>0</v>
      </c>
      <c r="U5" s="31" t="n">
        <v>0</v>
      </c>
      <c r="V5" s="31" t="n">
        <v>0</v>
      </c>
      <c r="W5" s="31" t="n">
        <v>0</v>
      </c>
      <c r="X5" s="31" t="n">
        <v>0</v>
      </c>
      <c r="Y5" s="31" t="n">
        <v>0</v>
      </c>
      <c r="Z5" s="31" t="n">
        <v>0</v>
      </c>
      <c r="AA5" s="31" t="n">
        <v>0</v>
      </c>
      <c r="AB5" s="31" t="n">
        <v>0</v>
      </c>
      <c r="AC5" s="31" t="n">
        <v>0</v>
      </c>
      <c r="AD5" s="31" t="n">
        <v>0</v>
      </c>
      <c r="AE5" s="31" t="n">
        <v>0</v>
      </c>
      <c r="AF5" s="31" t="n">
        <v>0</v>
      </c>
      <c r="AG5" s="31" t="n">
        <v>0</v>
      </c>
      <c r="AH5" s="31" t="n">
        <v>0</v>
      </c>
      <c r="AI5" s="31" t="n">
        <v>0</v>
      </c>
      <c r="AJ5" s="31" t="n">
        <v>0</v>
      </c>
      <c r="AK5" s="31" t="n">
        <v>0</v>
      </c>
      <c r="AL5" s="31" t="n">
        <v>0</v>
      </c>
      <c r="AM5" s="31" t="n">
        <v>0</v>
      </c>
      <c r="AN5" s="31" t="n">
        <v>0</v>
      </c>
      <c r="AO5" s="31" t="n">
        <v>0</v>
      </c>
      <c r="AP5" s="31" t="n">
        <v>0</v>
      </c>
      <c r="AQ5" s="31" t="n">
        <v>0</v>
      </c>
      <c r="AR5" s="31" t="n">
        <v>0</v>
      </c>
      <c r="AS5" s="31" t="n">
        <v>0</v>
      </c>
      <c r="AT5" s="31" t="n">
        <v>0</v>
      </c>
      <c r="AU5" s="31" t="n">
        <v>0</v>
      </c>
      <c r="AV5" s="31" t="n">
        <v>0</v>
      </c>
      <c r="AW5" s="31" t="n">
        <v>0</v>
      </c>
      <c r="AX5" s="31" t="n">
        <v>0</v>
      </c>
      <c r="AY5" s="31" t="n">
        <v>0</v>
      </c>
      <c r="AZ5" s="31" t="n">
        <v>0</v>
      </c>
      <c r="BA5" s="32">
        <f>AZ5</f>
        <v/>
      </c>
      <c r="BB5" s="32">
        <f>AVERAGE(B5:AZ5)</f>
        <v/>
      </c>
    </row>
    <row r="6" ht="20" customHeight="1">
      <c r="A6" s="30" t="inlineStr">
        <is>
          <t>Usuários Ativos Mensais (MAU Estimado)</t>
        </is>
      </c>
      <c r="B6" s="31" t="n">
        <v>100</v>
      </c>
      <c r="C6" s="31" t="n">
        <v>100</v>
      </c>
      <c r="D6" s="31" t="n">
        <v>160</v>
      </c>
      <c r="E6" s="31" t="n">
        <v>213</v>
      </c>
      <c r="F6" s="31" t="n">
        <v>280</v>
      </c>
      <c r="G6" s="31" t="n">
        <v>800</v>
      </c>
      <c r="H6" s="31" t="n">
        <v>2400</v>
      </c>
      <c r="I6" s="31" t="n">
        <v>8000</v>
      </c>
      <c r="J6" s="31" t="n">
        <v>16000</v>
      </c>
      <c r="K6" s="31" t="n">
        <v>32000</v>
      </c>
      <c r="L6" s="31" t="n">
        <v>80000</v>
      </c>
      <c r="M6" s="31" t="n">
        <v>120000</v>
      </c>
      <c r="N6" s="31" t="n">
        <v>140000</v>
      </c>
      <c r="O6" s="31" t="n">
        <v>152000</v>
      </c>
      <c r="P6" s="31" t="n">
        <v>160000</v>
      </c>
      <c r="Q6" s="31" t="n">
        <v>176000</v>
      </c>
      <c r="R6" s="31" t="n">
        <v>192000</v>
      </c>
      <c r="S6" s="31" t="n">
        <v>208000</v>
      </c>
      <c r="T6" s="31" t="n">
        <v>224000</v>
      </c>
      <c r="U6" s="31" t="n">
        <v>240000</v>
      </c>
      <c r="V6" s="31" t="n">
        <v>256000</v>
      </c>
      <c r="W6" s="31" t="n">
        <v>268000</v>
      </c>
      <c r="X6" s="31" t="n">
        <v>280000</v>
      </c>
      <c r="Y6" s="31" t="n">
        <v>292000</v>
      </c>
      <c r="Z6" s="31" t="n">
        <v>302400</v>
      </c>
      <c r="AA6" s="31" t="n">
        <v>312000</v>
      </c>
      <c r="AB6" s="31" t="n">
        <v>320000</v>
      </c>
      <c r="AC6" s="31" t="n">
        <v>328000</v>
      </c>
      <c r="AD6" s="31" t="n">
        <v>336000</v>
      </c>
      <c r="AE6" s="31" t="n">
        <v>344000</v>
      </c>
      <c r="AF6" s="31" t="n">
        <v>352000</v>
      </c>
      <c r="AG6" s="31" t="n">
        <v>360000</v>
      </c>
      <c r="AH6" s="31" t="n">
        <v>368000</v>
      </c>
      <c r="AI6" s="31" t="n">
        <v>376000</v>
      </c>
      <c r="AJ6" s="31" t="n">
        <v>384000</v>
      </c>
      <c r="AK6" s="31" t="n">
        <v>392000</v>
      </c>
      <c r="AL6" s="31" t="n">
        <v>400000</v>
      </c>
      <c r="AM6" s="31" t="n">
        <v>408000</v>
      </c>
      <c r="AN6" s="31" t="n">
        <v>416000</v>
      </c>
      <c r="AO6" s="31" t="n">
        <v>424000</v>
      </c>
      <c r="AP6" s="31" t="n">
        <v>432000</v>
      </c>
      <c r="AQ6" s="31" t="n">
        <v>440000</v>
      </c>
      <c r="AR6" s="31" t="n">
        <v>448000</v>
      </c>
      <c r="AS6" s="31" t="n">
        <v>456000</v>
      </c>
      <c r="AT6" s="31" t="n">
        <v>464000</v>
      </c>
      <c r="AU6" s="31" t="n">
        <v>472000</v>
      </c>
      <c r="AV6" s="31" t="n">
        <v>480000</v>
      </c>
      <c r="AW6" s="31" t="n">
        <v>480000</v>
      </c>
      <c r="AX6" s="31" t="n">
        <v>480000</v>
      </c>
      <c r="AY6" s="31" t="n">
        <v>480000</v>
      </c>
      <c r="AZ6" s="31" t="n">
        <v>480000</v>
      </c>
      <c r="BA6" s="32">
        <f>AZ6</f>
        <v/>
      </c>
      <c r="BB6" s="32">
        <f>AVERAGE(B6:AZ6)</f>
        <v/>
      </c>
    </row>
    <row r="7" ht="20" customHeight="1">
      <c r="A7" s="33" t="inlineStr">
        <is>
          <t>Receita Bruta Projetada (R$)</t>
        </is>
      </c>
      <c r="B7" s="34" t="n">
        <v>60</v>
      </c>
      <c r="C7" s="34" t="n">
        <v>297</v>
      </c>
      <c r="D7" s="34" t="n">
        <v>588.0599999999999</v>
      </c>
      <c r="E7" s="34" t="n">
        <v>2262.3401402</v>
      </c>
      <c r="F7" s="34" t="n">
        <v>2925.0508105</v>
      </c>
      <c r="G7" s="34" t="n">
        <v>8891.781919719531</v>
      </c>
      <c r="H7" s="34" t="n">
        <v>27993.12893149254</v>
      </c>
      <c r="I7" s="34" t="n">
        <v>96873.82553509223</v>
      </c>
      <c r="J7" s="34" t="n">
        <v>199431.784239193</v>
      </c>
      <c r="K7" s="34" t="n">
        <v>557724.6244244097</v>
      </c>
      <c r="L7" s="34" t="n">
        <v>1411024.248407038</v>
      </c>
      <c r="M7" s="34" t="n">
        <v>2134533.379417275</v>
      </c>
      <c r="N7" s="34" t="n">
        <v>2553583.665255203</v>
      </c>
      <c r="O7" s="34" t="n">
        <v>2780812.407623102</v>
      </c>
      <c r="P7" s="34" t="n">
        <v>2929886.596927221</v>
      </c>
      <c r="Q7" s="34" t="n">
        <v>4018419.25671222</v>
      </c>
      <c r="R7" s="34" t="n">
        <v>4440295.082377581</v>
      </c>
      <c r="S7" s="34" t="n">
        <v>4869878.934457899</v>
      </c>
      <c r="T7" s="34" t="n">
        <v>5306493.270087805</v>
      </c>
      <c r="U7" s="34" t="n">
        <v>5749430.988574654</v>
      </c>
      <c r="V7" s="34" t="n">
        <v>6197966.461749574</v>
      </c>
      <c r="W7" s="34" t="n">
        <v>6553550.767266013</v>
      </c>
      <c r="X7" s="34" t="n">
        <v>6911421.461076615</v>
      </c>
      <c r="Y7" s="34" t="n">
        <v>7271004.925335137</v>
      </c>
      <c r="Z7" s="34" t="n">
        <v>7591576.405084314</v>
      </c>
      <c r="AA7" s="34" t="n">
        <v>7891919.533613034</v>
      </c>
      <c r="AB7" s="34" t="n">
        <v>8276840.355864335</v>
      </c>
      <c r="AC7" s="34" t="n">
        <v>8662880.544017211</v>
      </c>
      <c r="AD7" s="34" t="n">
        <v>9049275.751799108</v>
      </c>
      <c r="AE7" s="34" t="n">
        <v>9435305.266996169</v>
      </c>
      <c r="AF7" s="34" t="n">
        <v>9689584.854438182</v>
      </c>
      <c r="AG7" s="34" t="n">
        <v>9809049.868984682</v>
      </c>
      <c r="AH7" s="34" t="n">
        <v>9923654.13467638</v>
      </c>
      <c r="AI7" s="34" t="n">
        <v>10033588.0728149</v>
      </c>
      <c r="AJ7" s="34" t="n">
        <v>10139039.70066222</v>
      </c>
      <c r="AK7" s="34" t="n">
        <v>10240194.14368311</v>
      </c>
      <c r="AL7" s="34" t="n">
        <v>10337233.22394171</v>
      </c>
      <c r="AM7" s="34" t="n">
        <v>10430335.11639107</v>
      </c>
      <c r="AN7" s="34" t="n">
        <v>10519674.06558892</v>
      </c>
      <c r="AO7" s="34" t="n">
        <v>10605420.15609459</v>
      </c>
      <c r="AP7" s="34" t="n">
        <v>10687739.13045869</v>
      </c>
      <c r="AQ7" s="34" t="n">
        <v>10766792.24931377</v>
      </c>
      <c r="AR7" s="34" t="n">
        <v>10842736.18861628</v>
      </c>
      <c r="AS7" s="34" t="n">
        <v>10915722.96958219</v>
      </c>
      <c r="AT7" s="34" t="n">
        <v>10985899.91730578</v>
      </c>
      <c r="AU7" s="34" t="n">
        <v>11053409.64445625</v>
      </c>
      <c r="AV7" s="34" t="n">
        <v>11118390.05681466</v>
      </c>
      <c r="AW7" s="34" t="n">
        <v>10997679.71581678</v>
      </c>
      <c r="AX7" s="34" t="n">
        <v>10878668.89259174</v>
      </c>
      <c r="AY7" s="34" t="n">
        <v>10761394.74816211</v>
      </c>
      <c r="AZ7" s="34" t="n">
        <v>10997679.72</v>
      </c>
      <c r="BA7" s="34">
        <f>SUM(B7:AZ7)</f>
        <v/>
      </c>
      <c r="BB7" s="34">
        <f>AVERAGE(B7:AZ7)</f>
        <v/>
      </c>
    </row>
    <row r="8" ht="10" customHeight="1"/>
    <row r="9" ht="22" customHeight="1">
      <c r="A9" s="5" t="inlineStr">
        <is>
          <t>1. Squad de Agentes de IA Autônomos (8 Agentes)</t>
        </is>
      </c>
      <c r="B9" s="6">
        <f>SUM(B10:B17)</f>
        <v/>
      </c>
      <c r="C9" s="6">
        <f>SUM(C10:C17)</f>
        <v/>
      </c>
      <c r="D9" s="6">
        <f>SUM(D10:D17)</f>
        <v/>
      </c>
      <c r="E9" s="6">
        <f>SUM(E10:E17)</f>
        <v/>
      </c>
      <c r="F9" s="6">
        <f>SUM(F10:F17)</f>
        <v/>
      </c>
      <c r="G9" s="6">
        <f>SUM(G10:G17)</f>
        <v/>
      </c>
      <c r="H9" s="6">
        <f>SUM(H10:H17)</f>
        <v/>
      </c>
      <c r="I9" s="6">
        <f>SUM(I10:I17)</f>
        <v/>
      </c>
      <c r="J9" s="6">
        <f>SUM(J10:J17)</f>
        <v/>
      </c>
      <c r="K9" s="6">
        <f>SUM(K10:K17)</f>
        <v/>
      </c>
      <c r="L9" s="6">
        <f>SUM(L10:L17)</f>
        <v/>
      </c>
      <c r="M9" s="6">
        <f>SUM(M10:M17)</f>
        <v/>
      </c>
      <c r="N9" s="6">
        <f>SUM(N10:N17)</f>
        <v/>
      </c>
      <c r="O9" s="6">
        <f>SUM(O10:O17)</f>
        <v/>
      </c>
      <c r="P9" s="6">
        <f>SUM(P10:P17)</f>
        <v/>
      </c>
      <c r="Q9" s="6">
        <f>SUM(Q10:Q17)</f>
        <v/>
      </c>
      <c r="R9" s="6">
        <f>SUM(R10:R17)</f>
        <v/>
      </c>
      <c r="S9" s="6">
        <f>SUM(S10:S17)</f>
        <v/>
      </c>
      <c r="T9" s="6">
        <f>SUM(T10:T17)</f>
        <v/>
      </c>
      <c r="U9" s="6">
        <f>SUM(U10:U17)</f>
        <v/>
      </c>
      <c r="V9" s="6">
        <f>SUM(V10:V17)</f>
        <v/>
      </c>
      <c r="W9" s="6">
        <f>SUM(W10:W17)</f>
        <v/>
      </c>
      <c r="X9" s="6">
        <f>SUM(X10:X17)</f>
        <v/>
      </c>
      <c r="Y9" s="6">
        <f>SUM(Y10:Y17)</f>
        <v/>
      </c>
      <c r="Z9" s="6">
        <f>SUM(Z10:Z17)</f>
        <v/>
      </c>
      <c r="AA9" s="6">
        <f>SUM(AA10:AA17)</f>
        <v/>
      </c>
      <c r="AB9" s="6">
        <f>SUM(AB10:AB17)</f>
        <v/>
      </c>
      <c r="AC9" s="6">
        <f>SUM(AC10:AC17)</f>
        <v/>
      </c>
      <c r="AD9" s="6">
        <f>SUM(AD10:AD17)</f>
        <v/>
      </c>
      <c r="AE9" s="6">
        <f>SUM(AE10:AE17)</f>
        <v/>
      </c>
      <c r="AF9" s="6">
        <f>SUM(AF10:AF17)</f>
        <v/>
      </c>
      <c r="AG9" s="6">
        <f>SUM(AG10:AG17)</f>
        <v/>
      </c>
      <c r="AH9" s="6">
        <f>SUM(AH10:AH17)</f>
        <v/>
      </c>
      <c r="AI9" s="6">
        <f>SUM(AI10:AI17)</f>
        <v/>
      </c>
      <c r="AJ9" s="6">
        <f>SUM(AJ10:AJ17)</f>
        <v/>
      </c>
      <c r="AK9" s="6">
        <f>SUM(AK10:AK17)</f>
        <v/>
      </c>
      <c r="AL9" s="6">
        <f>SUM(AL10:AL17)</f>
        <v/>
      </c>
      <c r="AM9" s="6">
        <f>SUM(AM10:AM17)</f>
        <v/>
      </c>
      <c r="AN9" s="6">
        <f>SUM(AN10:AN17)</f>
        <v/>
      </c>
      <c r="AO9" s="6">
        <f>SUM(AO10:AO17)</f>
        <v/>
      </c>
      <c r="AP9" s="6">
        <f>SUM(AP10:AP17)</f>
        <v/>
      </c>
      <c r="AQ9" s="6">
        <f>SUM(AQ10:AQ17)</f>
        <v/>
      </c>
      <c r="AR9" s="6">
        <f>SUM(AR10:AR17)</f>
        <v/>
      </c>
      <c r="AS9" s="6">
        <f>SUM(AS10:AS17)</f>
        <v/>
      </c>
      <c r="AT9" s="6">
        <f>SUM(AT10:AT17)</f>
        <v/>
      </c>
      <c r="AU9" s="6">
        <f>SUM(AU10:AU17)</f>
        <v/>
      </c>
      <c r="AV9" s="6">
        <f>SUM(AV10:AV17)</f>
        <v/>
      </c>
      <c r="AW9" s="6">
        <f>SUM(AW10:AW17)</f>
        <v/>
      </c>
      <c r="AX9" s="6">
        <f>SUM(AX10:AX17)</f>
        <v/>
      </c>
      <c r="AY9" s="6">
        <f>SUM(AY10:AY17)</f>
        <v/>
      </c>
      <c r="AZ9" s="6">
        <f>SUM(AZ10:AZ17)</f>
        <v/>
      </c>
      <c r="BA9" s="6">
        <f>SUM(BA10:BA17)</f>
        <v/>
      </c>
      <c r="BB9" s="6">
        <f>SUM(BB10:BB17)</f>
        <v/>
      </c>
    </row>
    <row r="10" ht="19" customHeight="1">
      <c r="A10" s="9" t="inlineStr">
        <is>
          <t xml:space="preserve">  1.1 Shop Recommender (Gemini Flash)</t>
        </is>
      </c>
      <c r="B10" s="10" t="n">
        <v>11.84</v>
      </c>
      <c r="C10" s="10" t="n">
        <v>45</v>
      </c>
      <c r="D10" s="10" t="n">
        <v>114.45</v>
      </c>
      <c r="E10" s="10" t="n">
        <v>171.09</v>
      </c>
      <c r="F10" s="10" t="n">
        <v>216.44</v>
      </c>
      <c r="G10" s="10" t="n">
        <v>255.75</v>
      </c>
      <c r="H10" s="10" t="n">
        <v>273.83</v>
      </c>
      <c r="I10" s="10" t="n">
        <v>291.08</v>
      </c>
      <c r="J10" s="10" t="n">
        <v>307.63</v>
      </c>
      <c r="K10" s="10" t="n">
        <v>323.55</v>
      </c>
      <c r="L10" s="10" t="n">
        <v>353.81</v>
      </c>
      <c r="M10" s="10" t="n">
        <v>382.3</v>
      </c>
      <c r="N10" s="10" t="n">
        <v>409.33</v>
      </c>
      <c r="O10" s="10" t="n">
        <v>435.13</v>
      </c>
      <c r="P10" s="10" t="n">
        <v>442.1</v>
      </c>
      <c r="Q10" s="10" t="n">
        <v>448.99</v>
      </c>
      <c r="R10" s="10" t="n">
        <v>455.8</v>
      </c>
      <c r="S10" s="10" t="n">
        <v>462.55</v>
      </c>
      <c r="T10" s="10" t="n">
        <v>469.22</v>
      </c>
      <c r="U10" s="10" t="n">
        <v>475.82</v>
      </c>
      <c r="V10" s="10" t="n">
        <v>482.36</v>
      </c>
      <c r="W10" s="10" t="n">
        <v>488.83</v>
      </c>
      <c r="X10" s="10" t="n">
        <v>495.25</v>
      </c>
      <c r="Y10" s="10" t="n">
        <v>501.6</v>
      </c>
      <c r="Z10" s="10" t="n">
        <v>507.9</v>
      </c>
      <c r="AA10" s="10" t="n">
        <v>514.14</v>
      </c>
      <c r="AB10" s="10" t="n">
        <v>520.3200000000001</v>
      </c>
      <c r="AC10" s="10" t="n">
        <v>526.46</v>
      </c>
      <c r="AD10" s="10" t="n">
        <v>532.54</v>
      </c>
      <c r="AE10" s="10" t="n">
        <v>538.5700000000001</v>
      </c>
      <c r="AF10" s="10" t="n">
        <v>544.55</v>
      </c>
      <c r="AG10" s="10" t="n">
        <v>550.49</v>
      </c>
      <c r="AH10" s="10" t="n">
        <v>556.38</v>
      </c>
      <c r="AI10" s="10" t="n">
        <v>562.22</v>
      </c>
      <c r="AJ10" s="10" t="n">
        <v>568.02</v>
      </c>
      <c r="AK10" s="10" t="n">
        <v>573.78</v>
      </c>
      <c r="AL10" s="10" t="n">
        <v>579.5</v>
      </c>
      <c r="AM10" s="10" t="n">
        <v>585.1799999999999</v>
      </c>
      <c r="AN10" s="10" t="n">
        <v>590.8099999999999</v>
      </c>
      <c r="AO10" s="10" t="n">
        <v>596.41</v>
      </c>
      <c r="AP10" s="10" t="n">
        <v>601.97</v>
      </c>
      <c r="AQ10" s="10" t="n">
        <v>607.5</v>
      </c>
      <c r="AR10" s="10" t="n">
        <v>612.98</v>
      </c>
      <c r="AS10" s="10" t="n">
        <v>618.4400000000001</v>
      </c>
      <c r="AT10" s="10" t="n">
        <v>623.85</v>
      </c>
      <c r="AU10" s="10" t="n">
        <v>629.24</v>
      </c>
      <c r="AV10" s="10" t="n">
        <v>634.59</v>
      </c>
      <c r="AW10" s="10" t="n">
        <v>639.91</v>
      </c>
      <c r="AX10" s="10" t="n">
        <v>645.1900000000001</v>
      </c>
      <c r="AY10" s="10" t="n">
        <v>650.45</v>
      </c>
      <c r="AZ10" s="10" t="n">
        <v>655.75</v>
      </c>
      <c r="BA10" s="10">
        <f>SUM(B10:AZ10)</f>
        <v/>
      </c>
      <c r="BB10" s="10">
        <f>AVERAGE(B10:AZ10)</f>
        <v/>
      </c>
    </row>
    <row r="11" ht="19" customHeight="1">
      <c r="A11" s="9" t="inlineStr">
        <is>
          <t xml:space="preserve">  1.2 Algorithmic Feed Curator (Gemini Lite)</t>
        </is>
      </c>
      <c r="B11" s="10" t="n">
        <v>8.460000000000001</v>
      </c>
      <c r="C11" s="10" t="n">
        <v>30</v>
      </c>
      <c r="D11" s="10" t="n">
        <v>72.7</v>
      </c>
      <c r="E11" s="10" t="n">
        <v>106.44</v>
      </c>
      <c r="F11" s="10" t="n">
        <v>133.04</v>
      </c>
      <c r="G11" s="10" t="n">
        <v>155.84</v>
      </c>
      <c r="H11" s="10" t="n">
        <v>166.27</v>
      </c>
      <c r="I11" s="10" t="n">
        <v>176.19</v>
      </c>
      <c r="J11" s="10" t="n">
        <v>185.68</v>
      </c>
      <c r="K11" s="10" t="n">
        <v>194.78</v>
      </c>
      <c r="L11" s="10" t="n">
        <v>212.01</v>
      </c>
      <c r="M11" s="10" t="n">
        <v>228.17</v>
      </c>
      <c r="N11" s="10" t="n">
        <v>243.44</v>
      </c>
      <c r="O11" s="10" t="n">
        <v>257.96</v>
      </c>
      <c r="P11" s="10" t="n">
        <v>261.88</v>
      </c>
      <c r="Q11" s="10" t="n">
        <v>265.75</v>
      </c>
      <c r="R11" s="10" t="n">
        <v>269.57</v>
      </c>
      <c r="S11" s="10" t="n">
        <v>273.35</v>
      </c>
      <c r="T11" s="10" t="n">
        <v>277.09</v>
      </c>
      <c r="U11" s="10" t="n">
        <v>280.79</v>
      </c>
      <c r="V11" s="10" t="n">
        <v>284.44</v>
      </c>
      <c r="W11" s="10" t="n">
        <v>288.06</v>
      </c>
      <c r="X11" s="10" t="n">
        <v>291.65</v>
      </c>
      <c r="Y11" s="10" t="n">
        <v>295.19</v>
      </c>
      <c r="Z11" s="10" t="n">
        <v>298.7</v>
      </c>
      <c r="AA11" s="10" t="n">
        <v>302.18</v>
      </c>
      <c r="AB11" s="10" t="n">
        <v>305.63</v>
      </c>
      <c r="AC11" s="10" t="n">
        <v>309.05</v>
      </c>
      <c r="AD11" s="10" t="n">
        <v>312.43</v>
      </c>
      <c r="AE11" s="10" t="n">
        <v>315.78</v>
      </c>
      <c r="AF11" s="10" t="n">
        <v>319.11</v>
      </c>
      <c r="AG11" s="10" t="n">
        <v>322.41</v>
      </c>
      <c r="AH11" s="10" t="n">
        <v>325.68</v>
      </c>
      <c r="AI11" s="10" t="n">
        <v>328.92</v>
      </c>
      <c r="AJ11" s="10" t="n">
        <v>332.14</v>
      </c>
      <c r="AK11" s="10" t="n">
        <v>335.33</v>
      </c>
      <c r="AL11" s="10" t="n">
        <v>338.5</v>
      </c>
      <c r="AM11" s="10" t="n">
        <v>341.64</v>
      </c>
      <c r="AN11" s="10" t="n">
        <v>344.76</v>
      </c>
      <c r="AO11" s="10" t="n">
        <v>347.86</v>
      </c>
      <c r="AP11" s="10" t="n">
        <v>350.93</v>
      </c>
      <c r="AQ11" s="10" t="n">
        <v>353.99</v>
      </c>
      <c r="AR11" s="10" t="n">
        <v>357.02</v>
      </c>
      <c r="AS11" s="10" t="n">
        <v>360.03</v>
      </c>
      <c r="AT11" s="10" t="n">
        <v>363.02</v>
      </c>
      <c r="AU11" s="10" t="n">
        <v>365.99</v>
      </c>
      <c r="AV11" s="10" t="n">
        <v>368.94</v>
      </c>
      <c r="AW11" s="10" t="n">
        <v>371.87</v>
      </c>
      <c r="AX11" s="10" t="n">
        <v>374.78</v>
      </c>
      <c r="AY11" s="10" t="n">
        <v>377.68</v>
      </c>
      <c r="AZ11" s="10" t="n">
        <v>380.6</v>
      </c>
      <c r="BA11" s="10">
        <f>SUM(B11:AZ11)</f>
        <v/>
      </c>
      <c r="BB11" s="10">
        <f>AVERAGE(B11:AZ11)</f>
        <v/>
      </c>
    </row>
    <row r="12" ht="19" customHeight="1">
      <c r="A12" s="9" t="inlineStr">
        <is>
          <t xml:space="preserve">  1.3 Sentinel Fraud Shield (Gemini Flash)</t>
        </is>
      </c>
      <c r="B12" s="10" t="n">
        <v>10</v>
      </c>
      <c r="C12" s="10" t="n">
        <v>38</v>
      </c>
      <c r="D12" s="10" t="n">
        <v>96.65000000000001</v>
      </c>
      <c r="E12" s="10" t="n">
        <v>144.47</v>
      </c>
      <c r="F12" s="10" t="n">
        <v>182.77</v>
      </c>
      <c r="G12" s="10" t="n">
        <v>215.96</v>
      </c>
      <c r="H12" s="10" t="n">
        <v>231.23</v>
      </c>
      <c r="I12" s="10" t="n">
        <v>245.8</v>
      </c>
      <c r="J12" s="10" t="n">
        <v>259.77</v>
      </c>
      <c r="K12" s="10" t="n">
        <v>273.22</v>
      </c>
      <c r="L12" s="10" t="n">
        <v>298.77</v>
      </c>
      <c r="M12" s="10" t="n">
        <v>322.83</v>
      </c>
      <c r="N12" s="10" t="n">
        <v>345.66</v>
      </c>
      <c r="O12" s="10" t="n">
        <v>367.44</v>
      </c>
      <c r="P12" s="10" t="n">
        <v>373.33</v>
      </c>
      <c r="Q12" s="10" t="n">
        <v>379.15</v>
      </c>
      <c r="R12" s="10" t="n">
        <v>384.9</v>
      </c>
      <c r="S12" s="10" t="n">
        <v>390.59</v>
      </c>
      <c r="T12" s="10" t="n">
        <v>396.23</v>
      </c>
      <c r="U12" s="10" t="n">
        <v>401.8</v>
      </c>
      <c r="V12" s="10" t="n">
        <v>407.33</v>
      </c>
      <c r="W12" s="10" t="n">
        <v>412.79</v>
      </c>
      <c r="X12" s="10" t="n">
        <v>418.21</v>
      </c>
      <c r="Y12" s="10" t="n">
        <v>423.58</v>
      </c>
      <c r="Z12" s="10" t="n">
        <v>428.89</v>
      </c>
      <c r="AA12" s="10" t="n">
        <v>434.16</v>
      </c>
      <c r="AB12" s="10" t="n">
        <v>439.38</v>
      </c>
      <c r="AC12" s="10" t="n">
        <v>444.56</v>
      </c>
      <c r="AD12" s="10" t="n">
        <v>449.7</v>
      </c>
      <c r="AE12" s="10" t="n">
        <v>454.79</v>
      </c>
      <c r="AF12" s="10" t="n">
        <v>459.84</v>
      </c>
      <c r="AG12" s="10" t="n">
        <v>464.86</v>
      </c>
      <c r="AH12" s="10" t="n">
        <v>469.83</v>
      </c>
      <c r="AI12" s="10" t="n">
        <v>474.77</v>
      </c>
      <c r="AJ12" s="10" t="n">
        <v>479.67</v>
      </c>
      <c r="AK12" s="10" t="n">
        <v>484.53</v>
      </c>
      <c r="AL12" s="10" t="n">
        <v>489.36</v>
      </c>
      <c r="AM12" s="10" t="n">
        <v>494.15</v>
      </c>
      <c r="AN12" s="10" t="n">
        <v>498.91</v>
      </c>
      <c r="AO12" s="10" t="n">
        <v>503.64</v>
      </c>
      <c r="AP12" s="10" t="n">
        <v>508.33</v>
      </c>
      <c r="AQ12" s="10" t="n">
        <v>513</v>
      </c>
      <c r="AR12" s="10" t="n">
        <v>517.63</v>
      </c>
      <c r="AS12" s="10" t="n">
        <v>522.24</v>
      </c>
      <c r="AT12" s="10" t="n">
        <v>526.8099999999999</v>
      </c>
      <c r="AU12" s="10" t="n">
        <v>531.36</v>
      </c>
      <c r="AV12" s="10" t="n">
        <v>535.87</v>
      </c>
      <c r="AW12" s="10" t="n">
        <v>540.37</v>
      </c>
      <c r="AX12" s="10" t="n">
        <v>544.83</v>
      </c>
      <c r="AY12" s="10" t="n">
        <v>549.27</v>
      </c>
      <c r="AZ12" s="10" t="n">
        <v>553.75</v>
      </c>
      <c r="BA12" s="10">
        <f>SUM(B12:AZ12)</f>
        <v/>
      </c>
      <c r="BB12" s="10">
        <f>AVERAGE(B12:AZ12)</f>
        <v/>
      </c>
    </row>
    <row r="13" ht="19" customHeight="1">
      <c r="A13" s="9" t="inlineStr">
        <is>
          <t xml:space="preserve">  1.4 Accounting &amp; Tax DRE Audit (Gemini Pro)</t>
        </is>
      </c>
      <c r="B13" s="10" t="n">
        <v>14.23</v>
      </c>
      <c r="C13" s="10" t="n">
        <v>45</v>
      </c>
      <c r="D13" s="10" t="n">
        <v>100.62</v>
      </c>
      <c r="E13" s="10" t="n">
        <v>142.3</v>
      </c>
      <c r="F13" s="10" t="n">
        <v>174.28</v>
      </c>
      <c r="G13" s="10" t="n">
        <v>201.25</v>
      </c>
      <c r="H13" s="10" t="n">
        <v>213.45</v>
      </c>
      <c r="I13" s="10" t="n">
        <v>225</v>
      </c>
      <c r="J13" s="10" t="n">
        <v>235.98</v>
      </c>
      <c r="K13" s="10" t="n">
        <v>246.48</v>
      </c>
      <c r="L13" s="10" t="n">
        <v>266.22</v>
      </c>
      <c r="M13" s="10" t="n">
        <v>284.6</v>
      </c>
      <c r="N13" s="10" t="n">
        <v>301.87</v>
      </c>
      <c r="O13" s="10" t="n">
        <v>318.2</v>
      </c>
      <c r="P13" s="10" t="n">
        <v>322.59</v>
      </c>
      <c r="Q13" s="10" t="n">
        <v>326.92</v>
      </c>
      <c r="R13" s="10" t="n">
        <v>331.19</v>
      </c>
      <c r="S13" s="10" t="n">
        <v>335.41</v>
      </c>
      <c r="T13" s="10" t="n">
        <v>339.58</v>
      </c>
      <c r="U13" s="10" t="n">
        <v>343.69</v>
      </c>
      <c r="V13" s="10" t="n">
        <v>347.76</v>
      </c>
      <c r="W13" s="10" t="n">
        <v>351.78</v>
      </c>
      <c r="X13" s="10" t="n">
        <v>355.76</v>
      </c>
      <c r="Y13" s="10" t="n">
        <v>359.69</v>
      </c>
      <c r="Z13" s="10" t="n">
        <v>363.58</v>
      </c>
      <c r="AA13" s="10" t="n">
        <v>367.42</v>
      </c>
      <c r="AB13" s="10" t="n">
        <v>371.23</v>
      </c>
      <c r="AC13" s="10" t="n">
        <v>375</v>
      </c>
      <c r="AD13" s="10" t="n">
        <v>378.73</v>
      </c>
      <c r="AE13" s="10" t="n">
        <v>382.43</v>
      </c>
      <c r="AF13" s="10" t="n">
        <v>386.09</v>
      </c>
      <c r="AG13" s="10" t="n">
        <v>389.71</v>
      </c>
      <c r="AH13" s="10" t="n">
        <v>393.3</v>
      </c>
      <c r="AI13" s="10" t="n">
        <v>396.86</v>
      </c>
      <c r="AJ13" s="10" t="n">
        <v>400.39</v>
      </c>
      <c r="AK13" s="10" t="n">
        <v>403.89</v>
      </c>
      <c r="AL13" s="10" t="n">
        <v>407.35</v>
      </c>
      <c r="AM13" s="10" t="n">
        <v>410.79</v>
      </c>
      <c r="AN13" s="10" t="n">
        <v>414.2</v>
      </c>
      <c r="AO13" s="10" t="n">
        <v>417.58</v>
      </c>
      <c r="AP13" s="10" t="n">
        <v>420.94</v>
      </c>
      <c r="AQ13" s="10" t="n">
        <v>424.26</v>
      </c>
      <c r="AR13" s="10" t="n">
        <v>427.57</v>
      </c>
      <c r="AS13" s="10" t="n">
        <v>430.84</v>
      </c>
      <c r="AT13" s="10" t="n">
        <v>434.09</v>
      </c>
      <c r="AU13" s="10" t="n">
        <v>437.32</v>
      </c>
      <c r="AV13" s="10" t="n">
        <v>440.53</v>
      </c>
      <c r="AW13" s="10" t="n">
        <v>443.71</v>
      </c>
      <c r="AX13" s="10" t="n">
        <v>446.86</v>
      </c>
      <c r="AY13" s="10" t="n">
        <v>450</v>
      </c>
      <c r="AZ13" s="10" t="n">
        <v>453.16</v>
      </c>
      <c r="BA13" s="10">
        <f>SUM(B13:AZ13)</f>
        <v/>
      </c>
      <c r="BB13" s="10">
        <f>AVERAGE(B13:AZ13)</f>
        <v/>
      </c>
    </row>
    <row r="14" ht="19" customHeight="1">
      <c r="A14" s="9" t="inlineStr">
        <is>
          <t xml:space="preserve">  1.5 Omnichannel CS Concierge (Gemini Flash)</t>
        </is>
      </c>
      <c r="B14" s="10" t="n">
        <v>10</v>
      </c>
      <c r="C14" s="10" t="n">
        <v>38</v>
      </c>
      <c r="D14" s="10" t="n">
        <v>96.65000000000001</v>
      </c>
      <c r="E14" s="10" t="n">
        <v>144.47</v>
      </c>
      <c r="F14" s="10" t="n">
        <v>182.77</v>
      </c>
      <c r="G14" s="10" t="n">
        <v>215.96</v>
      </c>
      <c r="H14" s="10" t="n">
        <v>231.23</v>
      </c>
      <c r="I14" s="10" t="n">
        <v>245.8</v>
      </c>
      <c r="J14" s="10" t="n">
        <v>259.77</v>
      </c>
      <c r="K14" s="10" t="n">
        <v>273.22</v>
      </c>
      <c r="L14" s="10" t="n">
        <v>298.77</v>
      </c>
      <c r="M14" s="10" t="n">
        <v>322.83</v>
      </c>
      <c r="N14" s="10" t="n">
        <v>345.66</v>
      </c>
      <c r="O14" s="10" t="n">
        <v>367.44</v>
      </c>
      <c r="P14" s="10" t="n">
        <v>373.33</v>
      </c>
      <c r="Q14" s="10" t="n">
        <v>379.15</v>
      </c>
      <c r="R14" s="10" t="n">
        <v>384.9</v>
      </c>
      <c r="S14" s="10" t="n">
        <v>390.59</v>
      </c>
      <c r="T14" s="10" t="n">
        <v>396.23</v>
      </c>
      <c r="U14" s="10" t="n">
        <v>401.8</v>
      </c>
      <c r="V14" s="10" t="n">
        <v>407.33</v>
      </c>
      <c r="W14" s="10" t="n">
        <v>412.79</v>
      </c>
      <c r="X14" s="10" t="n">
        <v>418.21</v>
      </c>
      <c r="Y14" s="10" t="n">
        <v>423.58</v>
      </c>
      <c r="Z14" s="10" t="n">
        <v>428.89</v>
      </c>
      <c r="AA14" s="10" t="n">
        <v>434.16</v>
      </c>
      <c r="AB14" s="10" t="n">
        <v>439.38</v>
      </c>
      <c r="AC14" s="10" t="n">
        <v>444.56</v>
      </c>
      <c r="AD14" s="10" t="n">
        <v>449.7</v>
      </c>
      <c r="AE14" s="10" t="n">
        <v>454.79</v>
      </c>
      <c r="AF14" s="10" t="n">
        <v>459.84</v>
      </c>
      <c r="AG14" s="10" t="n">
        <v>464.86</v>
      </c>
      <c r="AH14" s="10" t="n">
        <v>469.83</v>
      </c>
      <c r="AI14" s="10" t="n">
        <v>474.77</v>
      </c>
      <c r="AJ14" s="10" t="n">
        <v>479.67</v>
      </c>
      <c r="AK14" s="10" t="n">
        <v>484.53</v>
      </c>
      <c r="AL14" s="10" t="n">
        <v>489.36</v>
      </c>
      <c r="AM14" s="10" t="n">
        <v>494.15</v>
      </c>
      <c r="AN14" s="10" t="n">
        <v>498.91</v>
      </c>
      <c r="AO14" s="10" t="n">
        <v>503.64</v>
      </c>
      <c r="AP14" s="10" t="n">
        <v>508.33</v>
      </c>
      <c r="AQ14" s="10" t="n">
        <v>513</v>
      </c>
      <c r="AR14" s="10" t="n">
        <v>517.63</v>
      </c>
      <c r="AS14" s="10" t="n">
        <v>522.24</v>
      </c>
      <c r="AT14" s="10" t="n">
        <v>526.8099999999999</v>
      </c>
      <c r="AU14" s="10" t="n">
        <v>531.36</v>
      </c>
      <c r="AV14" s="10" t="n">
        <v>535.87</v>
      </c>
      <c r="AW14" s="10" t="n">
        <v>540.37</v>
      </c>
      <c r="AX14" s="10" t="n">
        <v>544.83</v>
      </c>
      <c r="AY14" s="10" t="n">
        <v>549.27</v>
      </c>
      <c r="AZ14" s="10" t="n">
        <v>553.75</v>
      </c>
      <c r="BA14" s="10">
        <f>SUM(B14:AZ14)</f>
        <v/>
      </c>
      <c r="BB14" s="10">
        <f>AVERAGE(B14:AZ14)</f>
        <v/>
      </c>
    </row>
    <row r="15" ht="19" customHeight="1">
      <c r="A15" s="9" t="inlineStr">
        <is>
          <t xml:space="preserve">  1.6 Partner &amp; VIP Co-Pilot (Gemini Flash)</t>
        </is>
      </c>
      <c r="B15" s="10" t="n">
        <v>6.04</v>
      </c>
      <c r="C15" s="10" t="n">
        <v>20</v>
      </c>
      <c r="D15" s="10" t="n">
        <v>46.18</v>
      </c>
      <c r="E15" s="10" t="n">
        <v>66.23</v>
      </c>
      <c r="F15" s="10" t="n">
        <v>81.77</v>
      </c>
      <c r="G15" s="10" t="n">
        <v>94.97</v>
      </c>
      <c r="H15" s="10" t="n">
        <v>100.96</v>
      </c>
      <c r="I15" s="10" t="n">
        <v>106.65</v>
      </c>
      <c r="J15" s="10" t="n">
        <v>112.07</v>
      </c>
      <c r="K15" s="10" t="n">
        <v>117.26</v>
      </c>
      <c r="L15" s="10" t="n">
        <v>127.04</v>
      </c>
      <c r="M15" s="10" t="n">
        <v>136.18</v>
      </c>
      <c r="N15" s="10" t="n">
        <v>144.78</v>
      </c>
      <c r="O15" s="10" t="n">
        <v>152.93</v>
      </c>
      <c r="P15" s="10" t="n">
        <v>155.13</v>
      </c>
      <c r="Q15" s="10" t="n">
        <v>157.29</v>
      </c>
      <c r="R15" s="10" t="n">
        <v>159.43</v>
      </c>
      <c r="S15" s="10" t="n">
        <v>161.54</v>
      </c>
      <c r="T15" s="10" t="n">
        <v>163.63</v>
      </c>
      <c r="U15" s="10" t="n">
        <v>165.69</v>
      </c>
      <c r="V15" s="10" t="n">
        <v>167.73</v>
      </c>
      <c r="W15" s="10" t="n">
        <v>169.75</v>
      </c>
      <c r="X15" s="10" t="n">
        <v>171.75</v>
      </c>
      <c r="Y15" s="10" t="n">
        <v>173.72</v>
      </c>
      <c r="Z15" s="10" t="n">
        <v>175.67</v>
      </c>
      <c r="AA15" s="10" t="n">
        <v>177.61</v>
      </c>
      <c r="AB15" s="10" t="n">
        <v>179.52</v>
      </c>
      <c r="AC15" s="10" t="n">
        <v>181.42</v>
      </c>
      <c r="AD15" s="10" t="n">
        <v>183.3</v>
      </c>
      <c r="AE15" s="10" t="n">
        <v>185.16</v>
      </c>
      <c r="AF15" s="10" t="n">
        <v>187</v>
      </c>
      <c r="AG15" s="10" t="n">
        <v>188.83</v>
      </c>
      <c r="AH15" s="10" t="n">
        <v>190.64</v>
      </c>
      <c r="AI15" s="10" t="n">
        <v>192.43</v>
      </c>
      <c r="AJ15" s="10" t="n">
        <v>194.21</v>
      </c>
      <c r="AK15" s="10" t="n">
        <v>195.97</v>
      </c>
      <c r="AL15" s="10" t="n">
        <v>197.72</v>
      </c>
      <c r="AM15" s="10" t="n">
        <v>199.46</v>
      </c>
      <c r="AN15" s="10" t="n">
        <v>201.18</v>
      </c>
      <c r="AO15" s="10" t="n">
        <v>202.89</v>
      </c>
      <c r="AP15" s="10" t="n">
        <v>204.59</v>
      </c>
      <c r="AQ15" s="10" t="n">
        <v>206.27</v>
      </c>
      <c r="AR15" s="10" t="n">
        <v>207.94</v>
      </c>
      <c r="AS15" s="10" t="n">
        <v>209.59</v>
      </c>
      <c r="AT15" s="10" t="n">
        <v>211.24</v>
      </c>
      <c r="AU15" s="10" t="n">
        <v>212.87</v>
      </c>
      <c r="AV15" s="10" t="n">
        <v>214.5</v>
      </c>
      <c r="AW15" s="10" t="n">
        <v>216.11</v>
      </c>
      <c r="AX15" s="10" t="n">
        <v>217.71</v>
      </c>
      <c r="AY15" s="10" t="n">
        <v>219.3</v>
      </c>
      <c r="AZ15" s="10" t="n">
        <v>220.9</v>
      </c>
      <c r="BA15" s="10">
        <f>SUM(B15:AZ15)</f>
        <v/>
      </c>
      <c r="BB15" s="10">
        <f>AVERAGE(B15:AZ15)</f>
        <v/>
      </c>
    </row>
    <row r="16" ht="19" customHeight="1">
      <c r="A16" s="9" t="inlineStr">
        <is>
          <t xml:space="preserve">  1.7 Wearables Telemetry &amp; Sensor AI (Lite)</t>
        </is>
      </c>
      <c r="B16" s="10" t="n">
        <v>4.53</v>
      </c>
      <c r="C16" s="10" t="n">
        <v>15</v>
      </c>
      <c r="D16" s="10" t="n">
        <v>34.64</v>
      </c>
      <c r="E16" s="10" t="n">
        <v>49.67</v>
      </c>
      <c r="F16" s="10" t="n">
        <v>61.33</v>
      </c>
      <c r="G16" s="10" t="n">
        <v>71.22</v>
      </c>
      <c r="H16" s="10" t="n">
        <v>75.72</v>
      </c>
      <c r="I16" s="10" t="n">
        <v>79.98999999999999</v>
      </c>
      <c r="J16" s="10" t="n">
        <v>84.05</v>
      </c>
      <c r="K16" s="10" t="n">
        <v>87.94</v>
      </c>
      <c r="L16" s="10" t="n">
        <v>95.28</v>
      </c>
      <c r="M16" s="10" t="n">
        <v>102.13</v>
      </c>
      <c r="N16" s="10" t="n">
        <v>108.58</v>
      </c>
      <c r="O16" s="10" t="n">
        <v>114.7</v>
      </c>
      <c r="P16" s="10" t="n">
        <v>116.34</v>
      </c>
      <c r="Q16" s="10" t="n">
        <v>117.97</v>
      </c>
      <c r="R16" s="10" t="n">
        <v>119.57</v>
      </c>
      <c r="S16" s="10" t="n">
        <v>121.16</v>
      </c>
      <c r="T16" s="10" t="n">
        <v>122.72</v>
      </c>
      <c r="U16" s="10" t="n">
        <v>124.27</v>
      </c>
      <c r="V16" s="10" t="n">
        <v>125.8</v>
      </c>
      <c r="W16" s="10" t="n">
        <v>127.31</v>
      </c>
      <c r="X16" s="10" t="n">
        <v>128.81</v>
      </c>
      <c r="Y16" s="10" t="n">
        <v>130.29</v>
      </c>
      <c r="Z16" s="10" t="n">
        <v>131.76</v>
      </c>
      <c r="AA16" s="10" t="n">
        <v>133.21</v>
      </c>
      <c r="AB16" s="10" t="n">
        <v>134.64</v>
      </c>
      <c r="AC16" s="10" t="n">
        <v>136.06</v>
      </c>
      <c r="AD16" s="10" t="n">
        <v>137.47</v>
      </c>
      <c r="AE16" s="10" t="n">
        <v>138.87</v>
      </c>
      <c r="AF16" s="10" t="n">
        <v>140.25</v>
      </c>
      <c r="AG16" s="10" t="n">
        <v>141.62</v>
      </c>
      <c r="AH16" s="10" t="n">
        <v>142.98</v>
      </c>
      <c r="AI16" s="10" t="n">
        <v>144.32</v>
      </c>
      <c r="AJ16" s="10" t="n">
        <v>145.66</v>
      </c>
      <c r="AK16" s="10" t="n">
        <v>146.98</v>
      </c>
      <c r="AL16" s="10" t="n">
        <v>148.29</v>
      </c>
      <c r="AM16" s="10" t="n">
        <v>149.59</v>
      </c>
      <c r="AN16" s="10" t="n">
        <v>150.89</v>
      </c>
      <c r="AO16" s="10" t="n">
        <v>152.17</v>
      </c>
      <c r="AP16" s="10" t="n">
        <v>153.44</v>
      </c>
      <c r="AQ16" s="10" t="n">
        <v>154.7</v>
      </c>
      <c r="AR16" s="10" t="n">
        <v>155.95</v>
      </c>
      <c r="AS16" s="10" t="n">
        <v>157.2</v>
      </c>
      <c r="AT16" s="10" t="n">
        <v>158.43</v>
      </c>
      <c r="AU16" s="10" t="n">
        <v>159.66</v>
      </c>
      <c r="AV16" s="10" t="n">
        <v>160.87</v>
      </c>
      <c r="AW16" s="10" t="n">
        <v>162.08</v>
      </c>
      <c r="AX16" s="10" t="n">
        <v>163.28</v>
      </c>
      <c r="AY16" s="10" t="n">
        <v>164.47</v>
      </c>
      <c r="AZ16" s="10" t="n">
        <v>165.67</v>
      </c>
      <c r="BA16" s="10">
        <f>SUM(B16:AZ16)</f>
        <v/>
      </c>
      <c r="BB16" s="10">
        <f>AVERAGE(B16:AZ16)</f>
        <v/>
      </c>
    </row>
    <row r="17" ht="19" customHeight="1">
      <c r="A17" s="9" t="inlineStr">
        <is>
          <t xml:space="preserve">  1.8 Executive BI &amp; Insights Miner (Gemini Pro)</t>
        </is>
      </c>
      <c r="B17" s="10" t="n">
        <v>6.62</v>
      </c>
      <c r="C17" s="10" t="n">
        <v>20</v>
      </c>
      <c r="D17" s="10" t="n">
        <v>43.3</v>
      </c>
      <c r="E17" s="10" t="n">
        <v>60.4</v>
      </c>
      <c r="F17" s="10" t="n">
        <v>73.38</v>
      </c>
      <c r="G17" s="10" t="n">
        <v>84.23999999999999</v>
      </c>
      <c r="H17" s="10" t="n">
        <v>89.14</v>
      </c>
      <c r="I17" s="10" t="n">
        <v>93.77</v>
      </c>
      <c r="J17" s="10" t="n">
        <v>98.15000000000001</v>
      </c>
      <c r="K17" s="10" t="n">
        <v>102.34</v>
      </c>
      <c r="L17" s="10" t="n">
        <v>110.2</v>
      </c>
      <c r="M17" s="10" t="n">
        <v>117.49</v>
      </c>
      <c r="N17" s="10" t="n">
        <v>124.33</v>
      </c>
      <c r="O17" s="10" t="n">
        <v>130.78</v>
      </c>
      <c r="P17" s="10" t="n">
        <v>132.51</v>
      </c>
      <c r="Q17" s="10" t="n">
        <v>134.22</v>
      </c>
      <c r="R17" s="10" t="n">
        <v>135.9</v>
      </c>
      <c r="S17" s="10" t="n">
        <v>137.56</v>
      </c>
      <c r="T17" s="10" t="n">
        <v>139.2</v>
      </c>
      <c r="U17" s="10" t="n">
        <v>140.82</v>
      </c>
      <c r="V17" s="10" t="n">
        <v>142.42</v>
      </c>
      <c r="W17" s="10" t="n">
        <v>144</v>
      </c>
      <c r="X17" s="10" t="n">
        <v>145.56</v>
      </c>
      <c r="Y17" s="10" t="n">
        <v>147.11</v>
      </c>
      <c r="Z17" s="10" t="n">
        <v>148.63</v>
      </c>
      <c r="AA17" s="10" t="n">
        <v>150.14</v>
      </c>
      <c r="AB17" s="10" t="n">
        <v>151.64</v>
      </c>
      <c r="AC17" s="10" t="n">
        <v>153.11</v>
      </c>
      <c r="AD17" s="10" t="n">
        <v>154.58</v>
      </c>
      <c r="AE17" s="10" t="n">
        <v>156.02</v>
      </c>
      <c r="AF17" s="10" t="n">
        <v>157.46</v>
      </c>
      <c r="AG17" s="10" t="n">
        <v>158.88</v>
      </c>
      <c r="AH17" s="10" t="n">
        <v>160.28</v>
      </c>
      <c r="AI17" s="10" t="n">
        <v>161.67</v>
      </c>
      <c r="AJ17" s="10" t="n">
        <v>163.05</v>
      </c>
      <c r="AK17" s="10" t="n">
        <v>164.42</v>
      </c>
      <c r="AL17" s="10" t="n">
        <v>165.78</v>
      </c>
      <c r="AM17" s="10" t="n">
        <v>167.12</v>
      </c>
      <c r="AN17" s="10" t="n">
        <v>168.45</v>
      </c>
      <c r="AO17" s="10" t="n">
        <v>169.77</v>
      </c>
      <c r="AP17" s="10" t="n">
        <v>171.08</v>
      </c>
      <c r="AQ17" s="10" t="n">
        <v>172.38</v>
      </c>
      <c r="AR17" s="10" t="n">
        <v>173.66</v>
      </c>
      <c r="AS17" s="10" t="n">
        <v>174.94</v>
      </c>
      <c r="AT17" s="10" t="n">
        <v>176.21</v>
      </c>
      <c r="AU17" s="10" t="n">
        <v>177.47</v>
      </c>
      <c r="AV17" s="10" t="n">
        <v>178.71</v>
      </c>
      <c r="AW17" s="10" t="n">
        <v>179.95</v>
      </c>
      <c r="AX17" s="10" t="n">
        <v>181.18</v>
      </c>
      <c r="AY17" s="10" t="n">
        <v>182.4</v>
      </c>
      <c r="AZ17" s="10" t="n">
        <v>183.63</v>
      </c>
      <c r="BA17" s="10">
        <f>SUM(B17:AZ17)</f>
        <v/>
      </c>
      <c r="BB17" s="10">
        <f>AVERAGE(B17:AZ17)</f>
        <v/>
      </c>
    </row>
    <row r="18" ht="22" customHeight="1">
      <c r="A18" s="5" t="inlineStr">
        <is>
          <t>2. Infraestrutura de TI &amp; Cloud (Compute &amp; Edge)</t>
        </is>
      </c>
      <c r="B18" s="6">
        <f>SUM(B19:B21)</f>
        <v/>
      </c>
      <c r="C18" s="6">
        <f>SUM(C19:C21)</f>
        <v/>
      </c>
      <c r="D18" s="6">
        <f>SUM(D19:D21)</f>
        <v/>
      </c>
      <c r="E18" s="6">
        <f>SUM(E19:E21)</f>
        <v/>
      </c>
      <c r="F18" s="6">
        <f>SUM(F19:F21)</f>
        <v/>
      </c>
      <c r="G18" s="6">
        <f>SUM(G19:G21)</f>
        <v/>
      </c>
      <c r="H18" s="6">
        <f>SUM(H19:H21)</f>
        <v/>
      </c>
      <c r="I18" s="6">
        <f>SUM(I19:I21)</f>
        <v/>
      </c>
      <c r="J18" s="6">
        <f>SUM(J19:J21)</f>
        <v/>
      </c>
      <c r="K18" s="6">
        <f>SUM(K19:K21)</f>
        <v/>
      </c>
      <c r="L18" s="6">
        <f>SUM(L19:L21)</f>
        <v/>
      </c>
      <c r="M18" s="6">
        <f>SUM(M19:M21)</f>
        <v/>
      </c>
      <c r="N18" s="6">
        <f>SUM(N19:N21)</f>
        <v/>
      </c>
      <c r="O18" s="6">
        <f>SUM(O19:O21)</f>
        <v/>
      </c>
      <c r="P18" s="6">
        <f>SUM(P19:P21)</f>
        <v/>
      </c>
      <c r="Q18" s="6">
        <f>SUM(Q19:Q21)</f>
        <v/>
      </c>
      <c r="R18" s="6">
        <f>SUM(R19:R21)</f>
        <v/>
      </c>
      <c r="S18" s="6">
        <f>SUM(S19:S21)</f>
        <v/>
      </c>
      <c r="T18" s="6">
        <f>SUM(T19:T21)</f>
        <v/>
      </c>
      <c r="U18" s="6">
        <f>SUM(U19:U21)</f>
        <v/>
      </c>
      <c r="V18" s="6">
        <f>SUM(V19:V21)</f>
        <v/>
      </c>
      <c r="W18" s="6">
        <f>SUM(W19:W21)</f>
        <v/>
      </c>
      <c r="X18" s="6">
        <f>SUM(X19:X21)</f>
        <v/>
      </c>
      <c r="Y18" s="6">
        <f>SUM(Y19:Y21)</f>
        <v/>
      </c>
      <c r="Z18" s="6">
        <f>SUM(Z19:Z21)</f>
        <v/>
      </c>
      <c r="AA18" s="6">
        <f>SUM(AA19:AA21)</f>
        <v/>
      </c>
      <c r="AB18" s="6">
        <f>SUM(AB19:AB21)</f>
        <v/>
      </c>
      <c r="AC18" s="6">
        <f>SUM(AC19:AC21)</f>
        <v/>
      </c>
      <c r="AD18" s="6">
        <f>SUM(AD19:AD21)</f>
        <v/>
      </c>
      <c r="AE18" s="6">
        <f>SUM(AE19:AE21)</f>
        <v/>
      </c>
      <c r="AF18" s="6">
        <f>SUM(AF19:AF21)</f>
        <v/>
      </c>
      <c r="AG18" s="6">
        <f>SUM(AG19:AG21)</f>
        <v/>
      </c>
      <c r="AH18" s="6">
        <f>SUM(AH19:AH21)</f>
        <v/>
      </c>
      <c r="AI18" s="6">
        <f>SUM(AI19:AI21)</f>
        <v/>
      </c>
      <c r="AJ18" s="6">
        <f>SUM(AJ19:AJ21)</f>
        <v/>
      </c>
      <c r="AK18" s="6">
        <f>SUM(AK19:AK21)</f>
        <v/>
      </c>
      <c r="AL18" s="6">
        <f>SUM(AL19:AL21)</f>
        <v/>
      </c>
      <c r="AM18" s="6">
        <f>SUM(AM19:AM21)</f>
        <v/>
      </c>
      <c r="AN18" s="6">
        <f>SUM(AN19:AN21)</f>
        <v/>
      </c>
      <c r="AO18" s="6">
        <f>SUM(AO19:AO21)</f>
        <v/>
      </c>
      <c r="AP18" s="6">
        <f>SUM(AP19:AP21)</f>
        <v/>
      </c>
      <c r="AQ18" s="6">
        <f>SUM(AQ19:AQ21)</f>
        <v/>
      </c>
      <c r="AR18" s="6">
        <f>SUM(AR19:AR21)</f>
        <v/>
      </c>
      <c r="AS18" s="6">
        <f>SUM(AS19:AS21)</f>
        <v/>
      </c>
      <c r="AT18" s="6">
        <f>SUM(AT19:AT21)</f>
        <v/>
      </c>
      <c r="AU18" s="6">
        <f>SUM(AU19:AU21)</f>
        <v/>
      </c>
      <c r="AV18" s="6">
        <f>SUM(AV19:AV21)</f>
        <v/>
      </c>
      <c r="AW18" s="6">
        <f>SUM(AW19:AW21)</f>
        <v/>
      </c>
      <c r="AX18" s="6">
        <f>SUM(AX19:AX21)</f>
        <v/>
      </c>
      <c r="AY18" s="6">
        <f>SUM(AY19:AY21)</f>
        <v/>
      </c>
      <c r="AZ18" s="6">
        <f>SUM(AZ19:AZ21)</f>
        <v/>
      </c>
      <c r="BA18" s="6">
        <f>SUM(BA19:BA21)</f>
        <v/>
      </c>
      <c r="BB18" s="6">
        <f>SUM(BB19:BB21)</f>
        <v/>
      </c>
    </row>
    <row r="19" ht="19" customHeight="1">
      <c r="A19" s="9" t="inlineStr">
        <is>
          <t xml:space="preserve">  2.1 Compute Serverless &amp; Containers (Cloud Run CUD)</t>
        </is>
      </c>
      <c r="B19" s="10" t="n">
        <v>69.68000000000001</v>
      </c>
      <c r="C19" s="10" t="n">
        <v>382.92</v>
      </c>
      <c r="D19" s="10" t="n">
        <v>1259.93</v>
      </c>
      <c r="E19" s="10" t="n">
        <v>2104.3</v>
      </c>
      <c r="F19" s="10" t="n">
        <v>2840.64</v>
      </c>
      <c r="G19" s="10" t="n">
        <v>3514.55</v>
      </c>
      <c r="H19" s="10" t="n">
        <v>3834.63</v>
      </c>
      <c r="I19" s="10" t="n">
        <v>4145.56</v>
      </c>
      <c r="J19" s="10" t="n">
        <v>4448.51</v>
      </c>
      <c r="K19" s="10" t="n">
        <v>4744.36</v>
      </c>
      <c r="L19" s="10" t="n">
        <v>5317.63</v>
      </c>
      <c r="M19" s="10" t="n">
        <v>5869.92</v>
      </c>
      <c r="N19" s="10" t="n">
        <v>6404.5</v>
      </c>
      <c r="O19" s="10" t="n">
        <v>6923.82</v>
      </c>
      <c r="P19" s="10" t="n">
        <v>7065.64</v>
      </c>
      <c r="Q19" s="10" t="n">
        <v>7206.46</v>
      </c>
      <c r="R19" s="10" t="n">
        <v>7346.32</v>
      </c>
      <c r="S19" s="10" t="n">
        <v>7485.26</v>
      </c>
      <c r="T19" s="10" t="n">
        <v>7623.28</v>
      </c>
      <c r="U19" s="10" t="n">
        <v>7760.44</v>
      </c>
      <c r="V19" s="10" t="n">
        <v>7896.75</v>
      </c>
      <c r="W19" s="10" t="n">
        <v>8032.24</v>
      </c>
      <c r="X19" s="10" t="n">
        <v>8166.94</v>
      </c>
      <c r="Y19" s="10" t="n">
        <v>8300.860000000001</v>
      </c>
      <c r="Z19" s="10" t="n">
        <v>8434.02</v>
      </c>
      <c r="AA19" s="10" t="n">
        <v>8566.450000000001</v>
      </c>
      <c r="AB19" s="10" t="n">
        <v>8698.16</v>
      </c>
      <c r="AC19" s="10" t="n">
        <v>8829.16</v>
      </c>
      <c r="AD19" s="10" t="n">
        <v>8959.5</v>
      </c>
      <c r="AE19" s="10" t="n">
        <v>9089.17</v>
      </c>
      <c r="AF19" s="10" t="n">
        <v>9218.200000000001</v>
      </c>
      <c r="AG19" s="10" t="n">
        <v>9346.59</v>
      </c>
      <c r="AH19" s="10" t="n">
        <v>9474.370000000001</v>
      </c>
      <c r="AI19" s="10" t="n">
        <v>9601.549999999999</v>
      </c>
      <c r="AJ19" s="10" t="n">
        <v>9728.129999999999</v>
      </c>
      <c r="AK19" s="10" t="n">
        <v>9854.139999999999</v>
      </c>
      <c r="AL19" s="10" t="n">
        <v>9979.58</v>
      </c>
      <c r="AM19" s="10" t="n">
        <v>10104.48</v>
      </c>
      <c r="AN19" s="10" t="n">
        <v>10228.83</v>
      </c>
      <c r="AO19" s="10" t="n">
        <v>10352.66</v>
      </c>
      <c r="AP19" s="10" t="n">
        <v>10475.96</v>
      </c>
      <c r="AQ19" s="10" t="n">
        <v>10598.76</v>
      </c>
      <c r="AR19" s="10" t="n">
        <v>10721.07</v>
      </c>
      <c r="AS19" s="10" t="n">
        <v>10842.88</v>
      </c>
      <c r="AT19" s="10" t="n">
        <v>10964.21</v>
      </c>
      <c r="AU19" s="10" t="n">
        <v>11085.07</v>
      </c>
      <c r="AV19" s="10" t="n">
        <v>11205.47</v>
      </c>
      <c r="AW19" s="10" t="n">
        <v>11325.42</v>
      </c>
      <c r="AX19" s="10" t="n">
        <v>11444.93</v>
      </c>
      <c r="AY19" s="10" t="n">
        <v>11564</v>
      </c>
      <c r="AZ19" s="10" t="n">
        <v>11684.31</v>
      </c>
      <c r="BA19" s="10">
        <f>SUM(B19:AZ19)</f>
        <v/>
      </c>
      <c r="BB19" s="10">
        <f>AVERAGE(B19:AZ19)</f>
        <v/>
      </c>
    </row>
    <row r="20" ht="19" customHeight="1">
      <c r="A20" s="9" t="inlineStr">
        <is>
          <t xml:space="preserve">  2.2 Edge Computing, CDN &amp; WAF (Cloudflare + GCS)</t>
        </is>
      </c>
      <c r="B20" s="10" t="n">
        <v>23.23</v>
      </c>
      <c r="C20" s="10" t="n">
        <v>127.68</v>
      </c>
      <c r="D20" s="10" t="n">
        <v>420.11</v>
      </c>
      <c r="E20" s="10" t="n">
        <v>701.65</v>
      </c>
      <c r="F20" s="10" t="n">
        <v>947.1799999999999</v>
      </c>
      <c r="G20" s="10" t="n">
        <v>1171.89</v>
      </c>
      <c r="H20" s="10" t="n">
        <v>1278.61</v>
      </c>
      <c r="I20" s="10" t="n">
        <v>1382.29</v>
      </c>
      <c r="J20" s="10" t="n">
        <v>1483.3</v>
      </c>
      <c r="K20" s="10" t="n">
        <v>1581.95</v>
      </c>
      <c r="L20" s="10" t="n">
        <v>1773.1</v>
      </c>
      <c r="M20" s="10" t="n">
        <v>1957.25</v>
      </c>
      <c r="N20" s="10" t="n">
        <v>2135.5</v>
      </c>
      <c r="O20" s="10" t="n">
        <v>2308.66</v>
      </c>
      <c r="P20" s="10" t="n">
        <v>2355.95</v>
      </c>
      <c r="Q20" s="10" t="n">
        <v>2402.91</v>
      </c>
      <c r="R20" s="10" t="n">
        <v>2449.54</v>
      </c>
      <c r="S20" s="10" t="n">
        <v>2495.87</v>
      </c>
      <c r="T20" s="10" t="n">
        <v>2541.89</v>
      </c>
      <c r="U20" s="10" t="n">
        <v>2587.62</v>
      </c>
      <c r="V20" s="10" t="n">
        <v>2633.08</v>
      </c>
      <c r="W20" s="10" t="n">
        <v>2678.25</v>
      </c>
      <c r="X20" s="10" t="n">
        <v>2723.17</v>
      </c>
      <c r="Y20" s="10" t="n">
        <v>2767.82</v>
      </c>
      <c r="Z20" s="10" t="n">
        <v>2812.22</v>
      </c>
      <c r="AA20" s="10" t="n">
        <v>2856.38</v>
      </c>
      <c r="AB20" s="10" t="n">
        <v>2900.29</v>
      </c>
      <c r="AC20" s="10" t="n">
        <v>2943.98</v>
      </c>
      <c r="AD20" s="10" t="n">
        <v>2987.44</v>
      </c>
      <c r="AE20" s="10" t="n">
        <v>3030.67</v>
      </c>
      <c r="AF20" s="10" t="n">
        <v>3073.7</v>
      </c>
      <c r="AG20" s="10" t="n">
        <v>3116.51</v>
      </c>
      <c r="AH20" s="10" t="n">
        <v>3159.11</v>
      </c>
      <c r="AI20" s="10" t="n">
        <v>3201.52</v>
      </c>
      <c r="AJ20" s="10" t="n">
        <v>3243.73</v>
      </c>
      <c r="AK20" s="10" t="n">
        <v>3285.74</v>
      </c>
      <c r="AL20" s="10" t="n">
        <v>3327.57</v>
      </c>
      <c r="AM20" s="10" t="n">
        <v>3369.21</v>
      </c>
      <c r="AN20" s="10" t="n">
        <v>3410.68</v>
      </c>
      <c r="AO20" s="10" t="n">
        <v>3451.97</v>
      </c>
      <c r="AP20" s="10" t="n">
        <v>3493.08</v>
      </c>
      <c r="AQ20" s="10" t="n">
        <v>3534.03</v>
      </c>
      <c r="AR20" s="10" t="n">
        <v>3574.81</v>
      </c>
      <c r="AS20" s="10" t="n">
        <v>3615.43</v>
      </c>
      <c r="AT20" s="10" t="n">
        <v>3655.88</v>
      </c>
      <c r="AU20" s="10" t="n">
        <v>3696.18</v>
      </c>
      <c r="AV20" s="10" t="n">
        <v>3736.33</v>
      </c>
      <c r="AW20" s="10" t="n">
        <v>3776.32</v>
      </c>
      <c r="AX20" s="10" t="n">
        <v>3816.17</v>
      </c>
      <c r="AY20" s="10" t="n">
        <v>3855.87</v>
      </c>
      <c r="AZ20" s="10" t="n">
        <v>3895.98</v>
      </c>
      <c r="BA20" s="10">
        <f>SUM(B20:AZ20)</f>
        <v/>
      </c>
      <c r="BB20" s="10">
        <f>AVERAGE(B20:AZ20)</f>
        <v/>
      </c>
    </row>
    <row r="21" ht="19" customHeight="1">
      <c r="A21" s="9" t="inlineStr">
        <is>
          <t xml:space="preserve">  2.3 API Gateways, LB &amp; DNS (Google Cloud LB)</t>
        </is>
      </c>
      <c r="B21" s="10" t="n">
        <v>18.6</v>
      </c>
      <c r="C21" s="10" t="n">
        <v>85</v>
      </c>
      <c r="D21" s="10" t="n">
        <v>245.89</v>
      </c>
      <c r="E21" s="10" t="n">
        <v>388.52</v>
      </c>
      <c r="F21" s="10" t="n">
        <v>507.74</v>
      </c>
      <c r="G21" s="10" t="n">
        <v>613.9</v>
      </c>
      <c r="H21" s="10" t="n">
        <v>663.53</v>
      </c>
      <c r="I21" s="10" t="n">
        <v>711.3099999999999</v>
      </c>
      <c r="J21" s="10" t="n">
        <v>757.49</v>
      </c>
      <c r="K21" s="10" t="n">
        <v>802.27</v>
      </c>
      <c r="L21" s="10" t="n">
        <v>888.1900000000001</v>
      </c>
      <c r="M21" s="10" t="n">
        <v>970.02</v>
      </c>
      <c r="N21" s="10" t="n">
        <v>1048.43</v>
      </c>
      <c r="O21" s="10" t="n">
        <v>1123.93</v>
      </c>
      <c r="P21" s="10" t="n">
        <v>1144.44</v>
      </c>
      <c r="Q21" s="10" t="n">
        <v>1164.76</v>
      </c>
      <c r="R21" s="10" t="n">
        <v>1184.9</v>
      </c>
      <c r="S21" s="10" t="n">
        <v>1204.87</v>
      </c>
      <c r="T21" s="10" t="n">
        <v>1224.66</v>
      </c>
      <c r="U21" s="10" t="n">
        <v>1244.3</v>
      </c>
      <c r="V21" s="10" t="n">
        <v>1263.77</v>
      </c>
      <c r="W21" s="10" t="n">
        <v>1283.09</v>
      </c>
      <c r="X21" s="10" t="n">
        <v>1302.27</v>
      </c>
      <c r="Y21" s="10" t="n">
        <v>1321.29</v>
      </c>
      <c r="Z21" s="10" t="n">
        <v>1340.18</v>
      </c>
      <c r="AA21" s="10" t="n">
        <v>1358.94</v>
      </c>
      <c r="AB21" s="10" t="n">
        <v>1377.56</v>
      </c>
      <c r="AC21" s="10" t="n">
        <v>1396.05</v>
      </c>
      <c r="AD21" s="10" t="n">
        <v>1414.41</v>
      </c>
      <c r="AE21" s="10" t="n">
        <v>1432.65</v>
      </c>
      <c r="AF21" s="10" t="n">
        <v>1450.78</v>
      </c>
      <c r="AG21" s="10" t="n">
        <v>1468.79</v>
      </c>
      <c r="AH21" s="10" t="n">
        <v>1486.68</v>
      </c>
      <c r="AI21" s="10" t="n">
        <v>1504.47</v>
      </c>
      <c r="AJ21" s="10" t="n">
        <v>1522.15</v>
      </c>
      <c r="AK21" s="10" t="n">
        <v>1539.72</v>
      </c>
      <c r="AL21" s="10" t="n">
        <v>1557.19</v>
      </c>
      <c r="AM21" s="10" t="n">
        <v>1574.56</v>
      </c>
      <c r="AN21" s="10" t="n">
        <v>1591.83</v>
      </c>
      <c r="AO21" s="10" t="n">
        <v>1609.01</v>
      </c>
      <c r="AP21" s="10" t="n">
        <v>1626.09</v>
      </c>
      <c r="AQ21" s="10" t="n">
        <v>1643.08</v>
      </c>
      <c r="AR21" s="10" t="n">
        <v>1659.98</v>
      </c>
      <c r="AS21" s="10" t="n">
        <v>1676.79</v>
      </c>
      <c r="AT21" s="10" t="n">
        <v>1693.51</v>
      </c>
      <c r="AU21" s="10" t="n">
        <v>1710.15</v>
      </c>
      <c r="AV21" s="10" t="n">
        <v>1726.71</v>
      </c>
      <c r="AW21" s="10" t="n">
        <v>1743.19</v>
      </c>
      <c r="AX21" s="10" t="n">
        <v>1759.58</v>
      </c>
      <c r="AY21" s="10" t="n">
        <v>1775.9</v>
      </c>
      <c r="AZ21" s="10" t="n">
        <v>1792.37</v>
      </c>
      <c r="BA21" s="10">
        <f>SUM(B21:AZ21)</f>
        <v/>
      </c>
      <c r="BB21" s="10">
        <f>AVERAGE(B21:AZ21)</f>
        <v/>
      </c>
    </row>
    <row r="22" ht="22" customHeight="1">
      <c r="A22" s="5" t="inlineStr">
        <is>
          <t>3. Estrutura de Dados, Ledger &amp; Analytics</t>
        </is>
      </c>
      <c r="B22" s="6">
        <f>SUM(B23:B26)</f>
        <v/>
      </c>
      <c r="C22" s="6">
        <f>SUM(C23:C26)</f>
        <v/>
      </c>
      <c r="D22" s="6">
        <f>SUM(D23:D26)</f>
        <v/>
      </c>
      <c r="E22" s="6">
        <f>SUM(E23:E26)</f>
        <v/>
      </c>
      <c r="F22" s="6">
        <f>SUM(F23:F26)</f>
        <v/>
      </c>
      <c r="G22" s="6">
        <f>SUM(G23:G26)</f>
        <v/>
      </c>
      <c r="H22" s="6">
        <f>SUM(H23:H26)</f>
        <v/>
      </c>
      <c r="I22" s="6">
        <f>SUM(I23:I26)</f>
        <v/>
      </c>
      <c r="J22" s="6">
        <f>SUM(J23:J26)</f>
        <v/>
      </c>
      <c r="K22" s="6">
        <f>SUM(K23:K26)</f>
        <v/>
      </c>
      <c r="L22" s="6">
        <f>SUM(L23:L26)</f>
        <v/>
      </c>
      <c r="M22" s="6">
        <f>SUM(M23:M26)</f>
        <v/>
      </c>
      <c r="N22" s="6">
        <f>SUM(N23:N26)</f>
        <v/>
      </c>
      <c r="O22" s="6">
        <f>SUM(O23:O26)</f>
        <v/>
      </c>
      <c r="P22" s="6">
        <f>SUM(P23:P26)</f>
        <v/>
      </c>
      <c r="Q22" s="6">
        <f>SUM(Q23:Q26)</f>
        <v/>
      </c>
      <c r="R22" s="6">
        <f>SUM(R23:R26)</f>
        <v/>
      </c>
      <c r="S22" s="6">
        <f>SUM(S23:S26)</f>
        <v/>
      </c>
      <c r="T22" s="6">
        <f>SUM(T23:T26)</f>
        <v/>
      </c>
      <c r="U22" s="6">
        <f>SUM(U23:U26)</f>
        <v/>
      </c>
      <c r="V22" s="6">
        <f>SUM(V23:V26)</f>
        <v/>
      </c>
      <c r="W22" s="6">
        <f>SUM(W23:W26)</f>
        <v/>
      </c>
      <c r="X22" s="6">
        <f>SUM(X23:X26)</f>
        <v/>
      </c>
      <c r="Y22" s="6">
        <f>SUM(Y23:Y26)</f>
        <v/>
      </c>
      <c r="Z22" s="6">
        <f>SUM(Z23:Z26)</f>
        <v/>
      </c>
      <c r="AA22" s="6">
        <f>SUM(AA23:AA26)</f>
        <v/>
      </c>
      <c r="AB22" s="6">
        <f>SUM(AB23:AB26)</f>
        <v/>
      </c>
      <c r="AC22" s="6">
        <f>SUM(AC23:AC26)</f>
        <v/>
      </c>
      <c r="AD22" s="6">
        <f>SUM(AD23:AD26)</f>
        <v/>
      </c>
      <c r="AE22" s="6">
        <f>SUM(AE23:AE26)</f>
        <v/>
      </c>
      <c r="AF22" s="6">
        <f>SUM(AF23:AF26)</f>
        <v/>
      </c>
      <c r="AG22" s="6">
        <f>SUM(AG23:AG26)</f>
        <v/>
      </c>
      <c r="AH22" s="6">
        <f>SUM(AH23:AH26)</f>
        <v/>
      </c>
      <c r="AI22" s="6">
        <f>SUM(AI23:AI26)</f>
        <v/>
      </c>
      <c r="AJ22" s="6">
        <f>SUM(AJ23:AJ26)</f>
        <v/>
      </c>
      <c r="AK22" s="6">
        <f>SUM(AK23:AK26)</f>
        <v/>
      </c>
      <c r="AL22" s="6">
        <f>SUM(AL23:AL26)</f>
        <v/>
      </c>
      <c r="AM22" s="6">
        <f>SUM(AM23:AM26)</f>
        <v/>
      </c>
      <c r="AN22" s="6">
        <f>SUM(AN23:AN26)</f>
        <v/>
      </c>
      <c r="AO22" s="6">
        <f>SUM(AO23:AO26)</f>
        <v/>
      </c>
      <c r="AP22" s="6">
        <f>SUM(AP23:AP26)</f>
        <v/>
      </c>
      <c r="AQ22" s="6">
        <f>SUM(AQ23:AQ26)</f>
        <v/>
      </c>
      <c r="AR22" s="6">
        <f>SUM(AR23:AR26)</f>
        <v/>
      </c>
      <c r="AS22" s="6">
        <f>SUM(AS23:AS26)</f>
        <v/>
      </c>
      <c r="AT22" s="6">
        <f>SUM(AT23:AT26)</f>
        <v/>
      </c>
      <c r="AU22" s="6">
        <f>SUM(AU23:AU26)</f>
        <v/>
      </c>
      <c r="AV22" s="6">
        <f>SUM(AV23:AV26)</f>
        <v/>
      </c>
      <c r="AW22" s="6">
        <f>SUM(AW23:AW26)</f>
        <v/>
      </c>
      <c r="AX22" s="6">
        <f>SUM(AX23:AX26)</f>
        <v/>
      </c>
      <c r="AY22" s="6">
        <f>SUM(AY23:AY26)</f>
        <v/>
      </c>
      <c r="AZ22" s="6">
        <f>SUM(AZ23:AZ26)</f>
        <v/>
      </c>
      <c r="BA22" s="6">
        <f>SUM(BA23:BA26)</f>
        <v/>
      </c>
      <c r="BB22" s="6">
        <f>SUM(BB23:BB26)</f>
        <v/>
      </c>
    </row>
    <row r="23" ht="19" customHeight="1">
      <c r="A23" s="9" t="inlineStr">
        <is>
          <t xml:space="preserve">  3.1 Banco Relacional OLTP &amp; Ledger (AlloyDB + PgBouncer)</t>
        </is>
      </c>
      <c r="B23" s="10" t="n">
        <v>51.1</v>
      </c>
      <c r="C23" s="10" t="n">
        <v>280.8</v>
      </c>
      <c r="D23" s="10" t="n">
        <v>923.92</v>
      </c>
      <c r="E23" s="10" t="n">
        <v>1543.11</v>
      </c>
      <c r="F23" s="10" t="n">
        <v>2083.07</v>
      </c>
      <c r="G23" s="10" t="n">
        <v>2577.27</v>
      </c>
      <c r="H23" s="10" t="n">
        <v>2811.98</v>
      </c>
      <c r="I23" s="10" t="n">
        <v>3039.99</v>
      </c>
      <c r="J23" s="10" t="n">
        <v>3262.15</v>
      </c>
      <c r="K23" s="10" t="n">
        <v>3479.1</v>
      </c>
      <c r="L23" s="10" t="n">
        <v>3899.49</v>
      </c>
      <c r="M23" s="10" t="n">
        <v>4304.49</v>
      </c>
      <c r="N23" s="10" t="n">
        <v>4696.5</v>
      </c>
      <c r="O23" s="10" t="n">
        <v>5077.32</v>
      </c>
      <c r="P23" s="10" t="n">
        <v>5181.32</v>
      </c>
      <c r="Q23" s="10" t="n">
        <v>5284.59</v>
      </c>
      <c r="R23" s="10" t="n">
        <v>5387.15</v>
      </c>
      <c r="S23" s="10" t="n">
        <v>5489.03</v>
      </c>
      <c r="T23" s="10" t="n">
        <v>5590.25</v>
      </c>
      <c r="U23" s="10" t="n">
        <v>5690.83</v>
      </c>
      <c r="V23" s="10" t="n">
        <v>5790.79</v>
      </c>
      <c r="W23" s="10" t="n">
        <v>5890.14</v>
      </c>
      <c r="X23" s="10" t="n">
        <v>5988.92</v>
      </c>
      <c r="Y23" s="10" t="n">
        <v>6087.12</v>
      </c>
      <c r="Z23" s="10" t="n">
        <v>6184.77</v>
      </c>
      <c r="AA23" s="10" t="n">
        <v>6281.88</v>
      </c>
      <c r="AB23" s="10" t="n">
        <v>6378.47</v>
      </c>
      <c r="AC23" s="10" t="n">
        <v>6474.54</v>
      </c>
      <c r="AD23" s="10" t="n">
        <v>6570.11</v>
      </c>
      <c r="AE23" s="10" t="n">
        <v>6665.2</v>
      </c>
      <c r="AF23" s="10" t="n">
        <v>6759.82</v>
      </c>
      <c r="AG23" s="10" t="n">
        <v>6853.97</v>
      </c>
      <c r="AH23" s="10" t="n">
        <v>6947.67</v>
      </c>
      <c r="AI23" s="10" t="n">
        <v>7040.93</v>
      </c>
      <c r="AJ23" s="10" t="n">
        <v>7133.76</v>
      </c>
      <c r="AK23" s="10" t="n">
        <v>7226.17</v>
      </c>
      <c r="AL23" s="10" t="n">
        <v>7318.15</v>
      </c>
      <c r="AM23" s="10" t="n">
        <v>7409.74</v>
      </c>
      <c r="AN23" s="10" t="n">
        <v>7500.93</v>
      </c>
      <c r="AO23" s="10" t="n">
        <v>7591.73</v>
      </c>
      <c r="AP23" s="10" t="n">
        <v>7682.15</v>
      </c>
      <c r="AQ23" s="10" t="n">
        <v>7772.21</v>
      </c>
      <c r="AR23" s="10" t="n">
        <v>7861.89</v>
      </c>
      <c r="AS23" s="10" t="n">
        <v>7951.22</v>
      </c>
      <c r="AT23" s="10" t="n">
        <v>8040.19</v>
      </c>
      <c r="AU23" s="10" t="n">
        <v>8128.82</v>
      </c>
      <c r="AV23" s="10" t="n">
        <v>8217.110000000001</v>
      </c>
      <c r="AW23" s="10" t="n">
        <v>8305.07</v>
      </c>
      <c r="AX23" s="10" t="n">
        <v>8392.709999999999</v>
      </c>
      <c r="AY23" s="10" t="n">
        <v>8480.02</v>
      </c>
      <c r="AZ23" s="10" t="n">
        <v>8568.24</v>
      </c>
      <c r="BA23" s="10">
        <f>SUM(B23:AZ23)</f>
        <v/>
      </c>
      <c r="BB23" s="10">
        <f>AVERAGE(B23:AZ23)</f>
        <v/>
      </c>
    </row>
    <row r="24" ht="19" customHeight="1">
      <c r="A24" s="9" t="inlineStr">
        <is>
          <t xml:space="preserve">  3.2 Cache In-Memory &amp; Redis (Upstash Redis)</t>
        </is>
      </c>
      <c r="B24" s="10" t="n">
        <v>9.300000000000001</v>
      </c>
      <c r="C24" s="10" t="n">
        <v>51.12</v>
      </c>
      <c r="D24" s="10" t="n">
        <v>168.2</v>
      </c>
      <c r="E24" s="10" t="n">
        <v>280.93</v>
      </c>
      <c r="F24" s="10" t="n">
        <v>379.23</v>
      </c>
      <c r="G24" s="10" t="n">
        <v>469.19</v>
      </c>
      <c r="H24" s="10" t="n">
        <v>511.92</v>
      </c>
      <c r="I24" s="10" t="n">
        <v>553.4299999999999</v>
      </c>
      <c r="J24" s="10" t="n">
        <v>593.88</v>
      </c>
      <c r="K24" s="10" t="n">
        <v>633.37</v>
      </c>
      <c r="L24" s="10" t="n">
        <v>709.91</v>
      </c>
      <c r="M24" s="10" t="n">
        <v>783.64</v>
      </c>
      <c r="N24" s="10" t="n">
        <v>855</v>
      </c>
      <c r="O24" s="10" t="n">
        <v>924.33</v>
      </c>
      <c r="P24" s="10" t="n">
        <v>943.27</v>
      </c>
      <c r="Q24" s="10" t="n">
        <v>962.0700000000001</v>
      </c>
      <c r="R24" s="10" t="n">
        <v>980.74</v>
      </c>
      <c r="S24" s="10" t="n">
        <v>999.29</v>
      </c>
      <c r="T24" s="10" t="n">
        <v>1017.71</v>
      </c>
      <c r="U24" s="10" t="n">
        <v>1036.02</v>
      </c>
      <c r="V24" s="10" t="n">
        <v>1054.22</v>
      </c>
      <c r="W24" s="10" t="n">
        <v>1072.31</v>
      </c>
      <c r="X24" s="10" t="n">
        <v>1090.29</v>
      </c>
      <c r="Y24" s="10" t="n">
        <v>1108.17</v>
      </c>
      <c r="Z24" s="10" t="n">
        <v>1125.95</v>
      </c>
      <c r="AA24" s="10" t="n">
        <v>1143.62</v>
      </c>
      <c r="AB24" s="10" t="n">
        <v>1161.21</v>
      </c>
      <c r="AC24" s="10" t="n">
        <v>1178.7</v>
      </c>
      <c r="AD24" s="10" t="n">
        <v>1196.1</v>
      </c>
      <c r="AE24" s="10" t="n">
        <v>1213.41</v>
      </c>
      <c r="AF24" s="10" t="n">
        <v>1230.63</v>
      </c>
      <c r="AG24" s="10" t="n">
        <v>1247.77</v>
      </c>
      <c r="AH24" s="10" t="n">
        <v>1264.83</v>
      </c>
      <c r="AI24" s="10" t="n">
        <v>1281.81</v>
      </c>
      <c r="AJ24" s="10" t="n">
        <v>1298.71</v>
      </c>
      <c r="AK24" s="10" t="n">
        <v>1315.53</v>
      </c>
      <c r="AL24" s="10" t="n">
        <v>1332.28</v>
      </c>
      <c r="AM24" s="10" t="n">
        <v>1348.95</v>
      </c>
      <c r="AN24" s="10" t="n">
        <v>1365.55</v>
      </c>
      <c r="AO24" s="10" t="n">
        <v>1382.08</v>
      </c>
      <c r="AP24" s="10" t="n">
        <v>1398.55</v>
      </c>
      <c r="AQ24" s="10" t="n">
        <v>1414.94</v>
      </c>
      <c r="AR24" s="10" t="n">
        <v>1431.27</v>
      </c>
      <c r="AS24" s="10" t="n">
        <v>1447.53</v>
      </c>
      <c r="AT24" s="10" t="n">
        <v>1463.73</v>
      </c>
      <c r="AU24" s="10" t="n">
        <v>1479.86</v>
      </c>
      <c r="AV24" s="10" t="n">
        <v>1495.94</v>
      </c>
      <c r="AW24" s="10" t="n">
        <v>1511.95</v>
      </c>
      <c r="AX24" s="10" t="n">
        <v>1527.9</v>
      </c>
      <c r="AY24" s="10" t="n">
        <v>1543.8</v>
      </c>
      <c r="AZ24" s="10" t="n">
        <v>1559.87</v>
      </c>
      <c r="BA24" s="10">
        <f>SUM(B24:AZ24)</f>
        <v/>
      </c>
      <c r="BB24" s="10">
        <f>AVERAGE(B24:AZ24)</f>
        <v/>
      </c>
    </row>
    <row r="25" ht="19" customHeight="1">
      <c r="A25" s="9" t="inlineStr">
        <is>
          <t xml:space="preserve">  3.3 Data Warehouse &amp; Lakehouse (BigQuery / Iceberg)</t>
        </is>
      </c>
      <c r="B25" s="10" t="n">
        <v>16.51</v>
      </c>
      <c r="C25" s="10" t="n">
        <v>95</v>
      </c>
      <c r="D25" s="10" t="n">
        <v>322.81</v>
      </c>
      <c r="E25" s="10" t="n">
        <v>546.67</v>
      </c>
      <c r="F25" s="10" t="n">
        <v>743.97</v>
      </c>
      <c r="G25" s="10" t="n">
        <v>925.78</v>
      </c>
      <c r="H25" s="10" t="n">
        <v>1012.47</v>
      </c>
      <c r="I25" s="10" t="n">
        <v>1096.88</v>
      </c>
      <c r="J25" s="10" t="n">
        <v>1179.28</v>
      </c>
      <c r="K25" s="10" t="n">
        <v>1259.9</v>
      </c>
      <c r="L25" s="10" t="n">
        <v>1416.5</v>
      </c>
      <c r="M25" s="10" t="n">
        <v>1567.79</v>
      </c>
      <c r="N25" s="10" t="n">
        <v>1714.61</v>
      </c>
      <c r="O25" s="10" t="n">
        <v>1857.55</v>
      </c>
      <c r="P25" s="10" t="n">
        <v>1896.64</v>
      </c>
      <c r="Q25" s="10" t="n">
        <v>1935.47</v>
      </c>
      <c r="R25" s="10" t="n">
        <v>1974.06</v>
      </c>
      <c r="S25" s="10" t="n">
        <v>2012.41</v>
      </c>
      <c r="T25" s="10" t="n">
        <v>2050.53</v>
      </c>
      <c r="U25" s="10" t="n">
        <v>2088.43</v>
      </c>
      <c r="V25" s="10" t="n">
        <v>2126.12</v>
      </c>
      <c r="W25" s="10" t="n">
        <v>2163.59</v>
      </c>
      <c r="X25" s="10" t="n">
        <v>2200.86</v>
      </c>
      <c r="Y25" s="10" t="n">
        <v>2237.93</v>
      </c>
      <c r="Z25" s="10" t="n">
        <v>2274.81</v>
      </c>
      <c r="AA25" s="10" t="n">
        <v>2311.5</v>
      </c>
      <c r="AB25" s="10" t="n">
        <v>2348.01</v>
      </c>
      <c r="AC25" s="10" t="n">
        <v>2384.34</v>
      </c>
      <c r="AD25" s="10" t="n">
        <v>2420.49</v>
      </c>
      <c r="AE25" s="10" t="n">
        <v>2456.48</v>
      </c>
      <c r="AF25" s="10" t="n">
        <v>2492.3</v>
      </c>
      <c r="AG25" s="10" t="n">
        <v>2527.96</v>
      </c>
      <c r="AH25" s="10" t="n">
        <v>2563.46</v>
      </c>
      <c r="AI25" s="10" t="n">
        <v>2598.81</v>
      </c>
      <c r="AJ25" s="10" t="n">
        <v>2634</v>
      </c>
      <c r="AK25" s="10" t="n">
        <v>2669.05</v>
      </c>
      <c r="AL25" s="10" t="n">
        <v>2703.95</v>
      </c>
      <c r="AM25" s="10" t="n">
        <v>2738.71</v>
      </c>
      <c r="AN25" s="10" t="n">
        <v>2773.33</v>
      </c>
      <c r="AO25" s="10" t="n">
        <v>2807.82</v>
      </c>
      <c r="AP25" s="10" t="n">
        <v>2842.17</v>
      </c>
      <c r="AQ25" s="10" t="n">
        <v>2876.39</v>
      </c>
      <c r="AR25" s="10" t="n">
        <v>2910.48</v>
      </c>
      <c r="AS25" s="10" t="n">
        <v>2944.45</v>
      </c>
      <c r="AT25" s="10" t="n">
        <v>2978.3</v>
      </c>
      <c r="AU25" s="10" t="n">
        <v>3012.02</v>
      </c>
      <c r="AV25" s="10" t="n">
        <v>3045.62</v>
      </c>
      <c r="AW25" s="10" t="n">
        <v>3079.11</v>
      </c>
      <c r="AX25" s="10" t="n">
        <v>3112.48</v>
      </c>
      <c r="AY25" s="10" t="n">
        <v>3145.75</v>
      </c>
      <c r="AZ25" s="10" t="n">
        <v>3179.38</v>
      </c>
      <c r="BA25" s="10">
        <f>SUM(B25:AZ25)</f>
        <v/>
      </c>
      <c r="BB25" s="10">
        <f>AVERAGE(B25:AZ25)</f>
        <v/>
      </c>
    </row>
    <row r="26" ht="19" customHeight="1">
      <c r="A26" s="9" t="inlineStr">
        <is>
          <t xml:space="preserve">  3.4 Vector Database &amp; Embeddings (Pgvector)</t>
        </is>
      </c>
      <c r="B26" s="10" t="n">
        <v>8</v>
      </c>
      <c r="C26" s="10" t="n">
        <v>45</v>
      </c>
      <c r="D26" s="10" t="n">
        <v>150.47</v>
      </c>
      <c r="E26" s="10" t="n">
        <v>253.05</v>
      </c>
      <c r="F26" s="10" t="n">
        <v>342.99</v>
      </c>
      <c r="G26" s="10" t="n">
        <v>425.58</v>
      </c>
      <c r="H26" s="10" t="n">
        <v>464.89</v>
      </c>
      <c r="I26" s="10" t="n">
        <v>503.12</v>
      </c>
      <c r="J26" s="10" t="n">
        <v>540.4</v>
      </c>
      <c r="K26" s="10" t="n">
        <v>576.84</v>
      </c>
      <c r="L26" s="10" t="n">
        <v>647.54</v>
      </c>
      <c r="M26" s="10" t="n">
        <v>715.74</v>
      </c>
      <c r="N26" s="10" t="n">
        <v>781.85</v>
      </c>
      <c r="O26" s="10" t="n">
        <v>846.14</v>
      </c>
      <c r="P26" s="10" t="n">
        <v>863.7</v>
      </c>
      <c r="Q26" s="10" t="n">
        <v>881.15</v>
      </c>
      <c r="R26" s="10" t="n">
        <v>898.49</v>
      </c>
      <c r="S26" s="10" t="n">
        <v>915.71</v>
      </c>
      <c r="T26" s="10" t="n">
        <v>932.83</v>
      </c>
      <c r="U26" s="10" t="n">
        <v>949.84</v>
      </c>
      <c r="V26" s="10" t="n">
        <v>966.75</v>
      </c>
      <c r="W26" s="10" t="n">
        <v>983.5599999999999</v>
      </c>
      <c r="X26" s="10" t="n">
        <v>1000.28</v>
      </c>
      <c r="Y26" s="10" t="n">
        <v>1016.91</v>
      </c>
      <c r="Z26" s="10" t="n">
        <v>1033.44</v>
      </c>
      <c r="AA26" s="10" t="n">
        <v>1049.89</v>
      </c>
      <c r="AB26" s="10" t="n">
        <v>1066.25</v>
      </c>
      <c r="AC26" s="10" t="n">
        <v>1082.53</v>
      </c>
      <c r="AD26" s="10" t="n">
        <v>1098.73</v>
      </c>
      <c r="AE26" s="10" t="n">
        <v>1114.85</v>
      </c>
      <c r="AF26" s="10" t="n">
        <v>1130.89</v>
      </c>
      <c r="AG26" s="10" t="n">
        <v>1146.85</v>
      </c>
      <c r="AH26" s="10" t="n">
        <v>1162.75</v>
      </c>
      <c r="AI26" s="10" t="n">
        <v>1178.57</v>
      </c>
      <c r="AJ26" s="10" t="n">
        <v>1194.32</v>
      </c>
      <c r="AK26" s="10" t="n">
        <v>1210</v>
      </c>
      <c r="AL26" s="10" t="n">
        <v>1225.61</v>
      </c>
      <c r="AM26" s="10" t="n">
        <v>1241.16</v>
      </c>
      <c r="AN26" s="10" t="n">
        <v>1256.64</v>
      </c>
      <c r="AO26" s="10" t="n">
        <v>1272.06</v>
      </c>
      <c r="AP26" s="10" t="n">
        <v>1287.41</v>
      </c>
      <c r="AQ26" s="10" t="n">
        <v>1302.71</v>
      </c>
      <c r="AR26" s="10" t="n">
        <v>1317.95</v>
      </c>
      <c r="AS26" s="10" t="n">
        <v>1333.13</v>
      </c>
      <c r="AT26" s="10" t="n">
        <v>1348.25</v>
      </c>
      <c r="AU26" s="10" t="n">
        <v>1363.31</v>
      </c>
      <c r="AV26" s="10" t="n">
        <v>1378.32</v>
      </c>
      <c r="AW26" s="10" t="n">
        <v>1393.27</v>
      </c>
      <c r="AX26" s="10" t="n">
        <v>1408.18</v>
      </c>
      <c r="AY26" s="10" t="n">
        <v>1423.02</v>
      </c>
      <c r="AZ26" s="10" t="n">
        <v>1438.02</v>
      </c>
      <c r="BA26" s="10">
        <f>SUM(B26:AZ26)</f>
        <v/>
      </c>
      <c r="BB26" s="10">
        <f>AVERAGE(B26:AZ26)</f>
        <v/>
      </c>
    </row>
    <row r="27" ht="22" customHeight="1">
      <c r="A27" s="5" t="inlineStr">
        <is>
          <t>4. CRM, Comunicação &amp; Mensageria Omnichannel</t>
        </is>
      </c>
      <c r="B27" s="6">
        <f>SUM(B28:B30)</f>
        <v/>
      </c>
      <c r="C27" s="6">
        <f>SUM(C28:C30)</f>
        <v/>
      </c>
      <c r="D27" s="6">
        <f>SUM(D28:D30)</f>
        <v/>
      </c>
      <c r="E27" s="6">
        <f>SUM(E28:E30)</f>
        <v/>
      </c>
      <c r="F27" s="6">
        <f>SUM(F28:F30)</f>
        <v/>
      </c>
      <c r="G27" s="6">
        <f>SUM(G28:G30)</f>
        <v/>
      </c>
      <c r="H27" s="6">
        <f>SUM(H28:H30)</f>
        <v/>
      </c>
      <c r="I27" s="6">
        <f>SUM(I28:I30)</f>
        <v/>
      </c>
      <c r="J27" s="6">
        <f>SUM(J28:J30)</f>
        <v/>
      </c>
      <c r="K27" s="6">
        <f>SUM(K28:K30)</f>
        <v/>
      </c>
      <c r="L27" s="6">
        <f>SUM(L28:L30)</f>
        <v/>
      </c>
      <c r="M27" s="6">
        <f>SUM(M28:M30)</f>
        <v/>
      </c>
      <c r="N27" s="6">
        <f>SUM(N28:N30)</f>
        <v/>
      </c>
      <c r="O27" s="6">
        <f>SUM(O28:O30)</f>
        <v/>
      </c>
      <c r="P27" s="6">
        <f>SUM(P28:P30)</f>
        <v/>
      </c>
      <c r="Q27" s="6">
        <f>SUM(Q28:Q30)</f>
        <v/>
      </c>
      <c r="R27" s="6">
        <f>SUM(R28:R30)</f>
        <v/>
      </c>
      <c r="S27" s="6">
        <f>SUM(S28:S30)</f>
        <v/>
      </c>
      <c r="T27" s="6">
        <f>SUM(T28:T30)</f>
        <v/>
      </c>
      <c r="U27" s="6">
        <f>SUM(U28:U30)</f>
        <v/>
      </c>
      <c r="V27" s="6">
        <f>SUM(V28:V30)</f>
        <v/>
      </c>
      <c r="W27" s="6">
        <f>SUM(W28:W30)</f>
        <v/>
      </c>
      <c r="X27" s="6">
        <f>SUM(X28:X30)</f>
        <v/>
      </c>
      <c r="Y27" s="6">
        <f>SUM(Y28:Y30)</f>
        <v/>
      </c>
      <c r="Z27" s="6">
        <f>SUM(Z28:Z30)</f>
        <v/>
      </c>
      <c r="AA27" s="6">
        <f>SUM(AA28:AA30)</f>
        <v/>
      </c>
      <c r="AB27" s="6">
        <f>SUM(AB28:AB30)</f>
        <v/>
      </c>
      <c r="AC27" s="6">
        <f>SUM(AC28:AC30)</f>
        <v/>
      </c>
      <c r="AD27" s="6">
        <f>SUM(AD28:AD30)</f>
        <v/>
      </c>
      <c r="AE27" s="6">
        <f>SUM(AE28:AE30)</f>
        <v/>
      </c>
      <c r="AF27" s="6">
        <f>SUM(AF28:AF30)</f>
        <v/>
      </c>
      <c r="AG27" s="6">
        <f>SUM(AG28:AG30)</f>
        <v/>
      </c>
      <c r="AH27" s="6">
        <f>SUM(AH28:AH30)</f>
        <v/>
      </c>
      <c r="AI27" s="6">
        <f>SUM(AI28:AI30)</f>
        <v/>
      </c>
      <c r="AJ27" s="6">
        <f>SUM(AJ28:AJ30)</f>
        <v/>
      </c>
      <c r="AK27" s="6">
        <f>SUM(AK28:AK30)</f>
        <v/>
      </c>
      <c r="AL27" s="6">
        <f>SUM(AL28:AL30)</f>
        <v/>
      </c>
      <c r="AM27" s="6">
        <f>SUM(AM28:AM30)</f>
        <v/>
      </c>
      <c r="AN27" s="6">
        <f>SUM(AN28:AN30)</f>
        <v/>
      </c>
      <c r="AO27" s="6">
        <f>SUM(AO28:AO30)</f>
        <v/>
      </c>
      <c r="AP27" s="6">
        <f>SUM(AP28:AP30)</f>
        <v/>
      </c>
      <c r="AQ27" s="6">
        <f>SUM(AQ28:AQ30)</f>
        <v/>
      </c>
      <c r="AR27" s="6">
        <f>SUM(AR28:AR30)</f>
        <v/>
      </c>
      <c r="AS27" s="6">
        <f>SUM(AS28:AS30)</f>
        <v/>
      </c>
      <c r="AT27" s="6">
        <f>SUM(AT28:AT30)</f>
        <v/>
      </c>
      <c r="AU27" s="6">
        <f>SUM(AU28:AU30)</f>
        <v/>
      </c>
      <c r="AV27" s="6">
        <f>SUM(AV28:AV30)</f>
        <v/>
      </c>
      <c r="AW27" s="6">
        <f>SUM(AW28:AW30)</f>
        <v/>
      </c>
      <c r="AX27" s="6">
        <f>SUM(AX28:AX30)</f>
        <v/>
      </c>
      <c r="AY27" s="6">
        <f>SUM(AY28:AY30)</f>
        <v/>
      </c>
      <c r="AZ27" s="6">
        <f>SUM(AZ28:AZ30)</f>
        <v/>
      </c>
      <c r="BA27" s="6">
        <f>SUM(BA28:BA30)</f>
        <v/>
      </c>
      <c r="BB27" s="6">
        <f>SUM(BB28:BB30)</f>
        <v/>
      </c>
    </row>
    <row r="28" ht="19" customHeight="1">
      <c r="A28" s="9" t="inlineStr">
        <is>
          <t xml:space="preserve">  4.1 WhatsApp Business API Transacional (Meta API)</t>
        </is>
      </c>
      <c r="B28" s="10" t="n">
        <v>9.51</v>
      </c>
      <c r="C28" s="10" t="n">
        <v>60</v>
      </c>
      <c r="D28" s="10" t="n">
        <v>217.43</v>
      </c>
      <c r="E28" s="10" t="n">
        <v>378.57</v>
      </c>
      <c r="F28" s="10" t="n">
        <v>523.63</v>
      </c>
      <c r="G28" s="10" t="n">
        <v>659.14</v>
      </c>
      <c r="H28" s="10" t="n">
        <v>724.26</v>
      </c>
      <c r="I28" s="10" t="n">
        <v>787.96</v>
      </c>
      <c r="J28" s="10" t="n">
        <v>850.39</v>
      </c>
      <c r="K28" s="10" t="n">
        <v>911.6900000000001</v>
      </c>
      <c r="L28" s="10" t="n">
        <v>1031.35</v>
      </c>
      <c r="M28" s="10" t="n">
        <v>1147.62</v>
      </c>
      <c r="N28" s="10" t="n">
        <v>1261.02</v>
      </c>
      <c r="O28" s="10" t="n">
        <v>1371.92</v>
      </c>
      <c r="P28" s="10" t="n">
        <v>1402.32</v>
      </c>
      <c r="Q28" s="10" t="n">
        <v>1432.56</v>
      </c>
      <c r="R28" s="10" t="n">
        <v>1462.64</v>
      </c>
      <c r="S28" s="10" t="n">
        <v>1492.57</v>
      </c>
      <c r="T28" s="10" t="n">
        <v>1522.34</v>
      </c>
      <c r="U28" s="10" t="n">
        <v>1551.97</v>
      </c>
      <c r="V28" s="10" t="n">
        <v>1581.47</v>
      </c>
      <c r="W28" s="10" t="n">
        <v>1610.82</v>
      </c>
      <c r="X28" s="10" t="n">
        <v>1640.04</v>
      </c>
      <c r="Y28" s="10" t="n">
        <v>1669.14</v>
      </c>
      <c r="Z28" s="10" t="n">
        <v>1698.1</v>
      </c>
      <c r="AA28" s="10" t="n">
        <v>1726.94</v>
      </c>
      <c r="AB28" s="10" t="n">
        <v>1755.67</v>
      </c>
      <c r="AC28" s="10" t="n">
        <v>1784.27</v>
      </c>
      <c r="AD28" s="10" t="n">
        <v>1812.76</v>
      </c>
      <c r="AE28" s="10" t="n">
        <v>1841.14</v>
      </c>
      <c r="AF28" s="10" t="n">
        <v>1869.42</v>
      </c>
      <c r="AG28" s="10" t="n">
        <v>1897.58</v>
      </c>
      <c r="AH28" s="10" t="n">
        <v>1925.64</v>
      </c>
      <c r="AI28" s="10" t="n">
        <v>1953.6</v>
      </c>
      <c r="AJ28" s="10" t="n">
        <v>1981.46</v>
      </c>
      <c r="AK28" s="10" t="n">
        <v>2009.22</v>
      </c>
      <c r="AL28" s="10" t="n">
        <v>2036.89</v>
      </c>
      <c r="AM28" s="10" t="n">
        <v>2064.46</v>
      </c>
      <c r="AN28" s="10" t="n">
        <v>2091.94</v>
      </c>
      <c r="AO28" s="10" t="n">
        <v>2119.33</v>
      </c>
      <c r="AP28" s="10" t="n">
        <v>2146.63</v>
      </c>
      <c r="AQ28" s="10" t="n">
        <v>2173.85</v>
      </c>
      <c r="AR28" s="10" t="n">
        <v>2200.98</v>
      </c>
      <c r="AS28" s="10" t="n">
        <v>2228.03</v>
      </c>
      <c r="AT28" s="10" t="n">
        <v>2254.99</v>
      </c>
      <c r="AU28" s="10" t="n">
        <v>2281.88</v>
      </c>
      <c r="AV28" s="10" t="n">
        <v>2308.68</v>
      </c>
      <c r="AW28" s="10" t="n">
        <v>2335.41</v>
      </c>
      <c r="AX28" s="10" t="n">
        <v>2362.07</v>
      </c>
      <c r="AY28" s="10" t="n">
        <v>2388.64</v>
      </c>
      <c r="AZ28" s="10" t="n">
        <v>2415.51</v>
      </c>
      <c r="BA28" s="10">
        <f>SUM(B28:AZ28)</f>
        <v/>
      </c>
      <c r="BB28" s="10">
        <f>AVERAGE(B28:AZ28)</f>
        <v/>
      </c>
    </row>
    <row r="29" ht="19" customHeight="1">
      <c r="A29" s="9" t="inlineStr">
        <is>
          <t xml:space="preserve">  4.2 Push Notifications &amp; Email (FCM + SendGrid)</t>
        </is>
      </c>
      <c r="B29" s="10" t="n">
        <v>6.49</v>
      </c>
      <c r="C29" s="10" t="n">
        <v>40</v>
      </c>
      <c r="D29" s="10" t="n">
        <v>142.64</v>
      </c>
      <c r="E29" s="10" t="n">
        <v>246.64</v>
      </c>
      <c r="F29" s="10" t="n">
        <v>339.76</v>
      </c>
      <c r="G29" s="10" t="n">
        <v>426.46</v>
      </c>
      <c r="H29" s="10" t="n">
        <v>468.04</v>
      </c>
      <c r="I29" s="10" t="n">
        <v>508.67</v>
      </c>
      <c r="J29" s="10" t="n">
        <v>548.4400000000001</v>
      </c>
      <c r="K29" s="10" t="n">
        <v>587.47</v>
      </c>
      <c r="L29" s="10" t="n">
        <v>663.55</v>
      </c>
      <c r="M29" s="10" t="n">
        <v>737.37</v>
      </c>
      <c r="N29" s="10" t="n">
        <v>809.28</v>
      </c>
      <c r="O29" s="10" t="n">
        <v>879.52</v>
      </c>
      <c r="P29" s="10" t="n">
        <v>898.77</v>
      </c>
      <c r="Q29" s="10" t="n">
        <v>917.9</v>
      </c>
      <c r="R29" s="10" t="n">
        <v>936.9299999999999</v>
      </c>
      <c r="S29" s="10" t="n">
        <v>955.86</v>
      </c>
      <c r="T29" s="10" t="n">
        <v>974.6900000000001</v>
      </c>
      <c r="U29" s="10" t="n">
        <v>993.42</v>
      </c>
      <c r="V29" s="10" t="n">
        <v>1012.06</v>
      </c>
      <c r="W29" s="10" t="n">
        <v>1030.61</v>
      </c>
      <c r="X29" s="10" t="n">
        <v>1049.07</v>
      </c>
      <c r="Y29" s="10" t="n">
        <v>1067.45</v>
      </c>
      <c r="Z29" s="10" t="n">
        <v>1085.74</v>
      </c>
      <c r="AA29" s="10" t="n">
        <v>1103.95</v>
      </c>
      <c r="AB29" s="10" t="n">
        <v>1122.08</v>
      </c>
      <c r="AC29" s="10" t="n">
        <v>1140.13</v>
      </c>
      <c r="AD29" s="10" t="n">
        <v>1158.1</v>
      </c>
      <c r="AE29" s="10" t="n">
        <v>1176.01</v>
      </c>
      <c r="AF29" s="10" t="n">
        <v>1193.84</v>
      </c>
      <c r="AG29" s="10" t="n">
        <v>1211.6</v>
      </c>
      <c r="AH29" s="10" t="n">
        <v>1229.29</v>
      </c>
      <c r="AI29" s="10" t="n">
        <v>1246.91</v>
      </c>
      <c r="AJ29" s="10" t="n">
        <v>1264.47</v>
      </c>
      <c r="AK29" s="10" t="n">
        <v>1281.96</v>
      </c>
      <c r="AL29" s="10" t="n">
        <v>1299.39</v>
      </c>
      <c r="AM29" s="10" t="n">
        <v>1316.76</v>
      </c>
      <c r="AN29" s="10" t="n">
        <v>1334.07</v>
      </c>
      <c r="AO29" s="10" t="n">
        <v>1351.32</v>
      </c>
      <c r="AP29" s="10" t="n">
        <v>1368.5</v>
      </c>
      <c r="AQ29" s="10" t="n">
        <v>1385.64</v>
      </c>
      <c r="AR29" s="10" t="n">
        <v>1402.71</v>
      </c>
      <c r="AS29" s="10" t="n">
        <v>1419.73</v>
      </c>
      <c r="AT29" s="10" t="n">
        <v>1436.7</v>
      </c>
      <c r="AU29" s="10" t="n">
        <v>1453.61</v>
      </c>
      <c r="AV29" s="10" t="n">
        <v>1470.48</v>
      </c>
      <c r="AW29" s="10" t="n">
        <v>1487.29</v>
      </c>
      <c r="AX29" s="10" t="n">
        <v>1504.05</v>
      </c>
      <c r="AY29" s="10" t="n">
        <v>1520.76</v>
      </c>
      <c r="AZ29" s="10" t="n">
        <v>1537.66</v>
      </c>
      <c r="BA29" s="10">
        <f>SUM(B29:AZ29)</f>
        <v/>
      </c>
      <c r="BB29" s="10">
        <f>AVERAGE(B29:AZ29)</f>
        <v/>
      </c>
    </row>
    <row r="30" ht="19" customHeight="1">
      <c r="A30" s="9" t="inlineStr">
        <is>
          <t xml:space="preserve">  4.3 Autenticação 2FA &amp; SMS (Twilio + Firebase Auth)</t>
        </is>
      </c>
      <c r="B30" s="10" t="n">
        <v>5.09</v>
      </c>
      <c r="C30" s="10" t="n">
        <v>30</v>
      </c>
      <c r="D30" s="10" t="n">
        <v>103.59</v>
      </c>
      <c r="E30" s="10" t="n">
        <v>176.65</v>
      </c>
      <c r="F30" s="10" t="n">
        <v>241.39</v>
      </c>
      <c r="G30" s="10" t="n">
        <v>301.24</v>
      </c>
      <c r="H30" s="10" t="n">
        <v>329.84</v>
      </c>
      <c r="I30" s="10" t="n">
        <v>357.71</v>
      </c>
      <c r="J30" s="10" t="n">
        <v>384.95</v>
      </c>
      <c r="K30" s="10" t="n">
        <v>411.63</v>
      </c>
      <c r="L30" s="10" t="n">
        <v>463.5</v>
      </c>
      <c r="M30" s="10" t="n">
        <v>513.7</v>
      </c>
      <c r="N30" s="10" t="n">
        <v>562.46</v>
      </c>
      <c r="O30" s="10" t="n">
        <v>610</v>
      </c>
      <c r="P30" s="10" t="n">
        <v>623</v>
      </c>
      <c r="Q30" s="10" t="n">
        <v>635.9299999999999</v>
      </c>
      <c r="R30" s="10" t="n">
        <v>648.78</v>
      </c>
      <c r="S30" s="10" t="n">
        <v>661.55</v>
      </c>
      <c r="T30" s="10" t="n">
        <v>674.25</v>
      </c>
      <c r="U30" s="10" t="n">
        <v>686.87</v>
      </c>
      <c r="V30" s="10" t="n">
        <v>699.4299999999999</v>
      </c>
      <c r="W30" s="10" t="n">
        <v>711.92</v>
      </c>
      <c r="X30" s="10" t="n">
        <v>724.35</v>
      </c>
      <c r="Y30" s="10" t="n">
        <v>736.71</v>
      </c>
      <c r="Z30" s="10" t="n">
        <v>749.02</v>
      </c>
      <c r="AA30" s="10" t="n">
        <v>761.26</v>
      </c>
      <c r="AB30" s="10" t="n">
        <v>773.4400000000001</v>
      </c>
      <c r="AC30" s="10" t="n">
        <v>785.5599999999999</v>
      </c>
      <c r="AD30" s="10" t="n">
        <v>797.63</v>
      </c>
      <c r="AE30" s="10" t="n">
        <v>809.65</v>
      </c>
      <c r="AF30" s="10" t="n">
        <v>821.61</v>
      </c>
      <c r="AG30" s="10" t="n">
        <v>833.52</v>
      </c>
      <c r="AH30" s="10" t="n">
        <v>845.39</v>
      </c>
      <c r="AI30" s="10" t="n">
        <v>857.2</v>
      </c>
      <c r="AJ30" s="10" t="n">
        <v>868.96</v>
      </c>
      <c r="AK30" s="10" t="n">
        <v>880.67</v>
      </c>
      <c r="AL30" s="10" t="n">
        <v>892.34</v>
      </c>
      <c r="AM30" s="10" t="n">
        <v>903.96</v>
      </c>
      <c r="AN30" s="10" t="n">
        <v>915.54</v>
      </c>
      <c r="AO30" s="10" t="n">
        <v>927.08</v>
      </c>
      <c r="AP30" s="10" t="n">
        <v>938.5700000000001</v>
      </c>
      <c r="AQ30" s="10" t="n">
        <v>950.02</v>
      </c>
      <c r="AR30" s="10" t="n">
        <v>961.4299999999999</v>
      </c>
      <c r="AS30" s="10" t="n">
        <v>972.8</v>
      </c>
      <c r="AT30" s="10" t="n">
        <v>984.13</v>
      </c>
      <c r="AU30" s="10" t="n">
        <v>995.42</v>
      </c>
      <c r="AV30" s="10" t="n">
        <v>1006.67</v>
      </c>
      <c r="AW30" s="10" t="n">
        <v>1017.89</v>
      </c>
      <c r="AX30" s="10" t="n">
        <v>1029.07</v>
      </c>
      <c r="AY30" s="10" t="n">
        <v>1040.21</v>
      </c>
      <c r="AZ30" s="10" t="n">
        <v>1051.47</v>
      </c>
      <c r="BA30" s="10">
        <f>SUM(B30:AZ30)</f>
        <v/>
      </c>
      <c r="BB30" s="10">
        <f>AVERAGE(B30:AZ30)</f>
        <v/>
      </c>
    </row>
    <row r="31" ht="22" customHeight="1">
      <c r="A31" s="5" t="inlineStr">
        <is>
          <t>5. Segurança, Observabilidade &amp; Ferramentas FinOps</t>
        </is>
      </c>
      <c r="B31" s="6">
        <f>SUM(B32:B33)</f>
        <v/>
      </c>
      <c r="C31" s="6">
        <f>SUM(C32:C33)</f>
        <v/>
      </c>
      <c r="D31" s="6">
        <f>SUM(D32:D33)</f>
        <v/>
      </c>
      <c r="E31" s="6">
        <f>SUM(E32:E33)</f>
        <v/>
      </c>
      <c r="F31" s="6">
        <f>SUM(F32:F33)</f>
        <v/>
      </c>
      <c r="G31" s="6">
        <f>SUM(G32:G33)</f>
        <v/>
      </c>
      <c r="H31" s="6">
        <f>SUM(H32:H33)</f>
        <v/>
      </c>
      <c r="I31" s="6">
        <f>SUM(I32:I33)</f>
        <v/>
      </c>
      <c r="J31" s="6">
        <f>SUM(J32:J33)</f>
        <v/>
      </c>
      <c r="K31" s="6">
        <f>SUM(K32:K33)</f>
        <v/>
      </c>
      <c r="L31" s="6">
        <f>SUM(L32:L33)</f>
        <v/>
      </c>
      <c r="M31" s="6">
        <f>SUM(M32:M33)</f>
        <v/>
      </c>
      <c r="N31" s="6">
        <f>SUM(N32:N33)</f>
        <v/>
      </c>
      <c r="O31" s="6">
        <f>SUM(O32:O33)</f>
        <v/>
      </c>
      <c r="P31" s="6">
        <f>SUM(P32:P33)</f>
        <v/>
      </c>
      <c r="Q31" s="6">
        <f>SUM(Q32:Q33)</f>
        <v/>
      </c>
      <c r="R31" s="6">
        <f>SUM(R32:R33)</f>
        <v/>
      </c>
      <c r="S31" s="6">
        <f>SUM(S32:S33)</f>
        <v/>
      </c>
      <c r="T31" s="6">
        <f>SUM(T32:T33)</f>
        <v/>
      </c>
      <c r="U31" s="6">
        <f>SUM(U32:U33)</f>
        <v/>
      </c>
      <c r="V31" s="6">
        <f>SUM(V32:V33)</f>
        <v/>
      </c>
      <c r="W31" s="6">
        <f>SUM(W32:W33)</f>
        <v/>
      </c>
      <c r="X31" s="6">
        <f>SUM(X32:X33)</f>
        <v/>
      </c>
      <c r="Y31" s="6">
        <f>SUM(Y32:Y33)</f>
        <v/>
      </c>
      <c r="Z31" s="6">
        <f>SUM(Z32:Z33)</f>
        <v/>
      </c>
      <c r="AA31" s="6">
        <f>SUM(AA32:AA33)</f>
        <v/>
      </c>
      <c r="AB31" s="6">
        <f>SUM(AB32:AB33)</f>
        <v/>
      </c>
      <c r="AC31" s="6">
        <f>SUM(AC32:AC33)</f>
        <v/>
      </c>
      <c r="AD31" s="6">
        <f>SUM(AD32:AD33)</f>
        <v/>
      </c>
      <c r="AE31" s="6">
        <f>SUM(AE32:AE33)</f>
        <v/>
      </c>
      <c r="AF31" s="6">
        <f>SUM(AF32:AF33)</f>
        <v/>
      </c>
      <c r="AG31" s="6">
        <f>SUM(AG32:AG33)</f>
        <v/>
      </c>
      <c r="AH31" s="6">
        <f>SUM(AH32:AH33)</f>
        <v/>
      </c>
      <c r="AI31" s="6">
        <f>SUM(AI32:AI33)</f>
        <v/>
      </c>
      <c r="AJ31" s="6">
        <f>SUM(AJ32:AJ33)</f>
        <v/>
      </c>
      <c r="AK31" s="6">
        <f>SUM(AK32:AK33)</f>
        <v/>
      </c>
      <c r="AL31" s="6">
        <f>SUM(AL32:AL33)</f>
        <v/>
      </c>
      <c r="AM31" s="6">
        <f>SUM(AM32:AM33)</f>
        <v/>
      </c>
      <c r="AN31" s="6">
        <f>SUM(AN32:AN33)</f>
        <v/>
      </c>
      <c r="AO31" s="6">
        <f>SUM(AO32:AO33)</f>
        <v/>
      </c>
      <c r="AP31" s="6">
        <f>SUM(AP32:AP33)</f>
        <v/>
      </c>
      <c r="AQ31" s="6">
        <f>SUM(AQ32:AQ33)</f>
        <v/>
      </c>
      <c r="AR31" s="6">
        <f>SUM(AR32:AR33)</f>
        <v/>
      </c>
      <c r="AS31" s="6">
        <f>SUM(AS32:AS33)</f>
        <v/>
      </c>
      <c r="AT31" s="6">
        <f>SUM(AT32:AT33)</f>
        <v/>
      </c>
      <c r="AU31" s="6">
        <f>SUM(AU32:AU33)</f>
        <v/>
      </c>
      <c r="AV31" s="6">
        <f>SUM(AV32:AV33)</f>
        <v/>
      </c>
      <c r="AW31" s="6">
        <f>SUM(AW32:AW33)</f>
        <v/>
      </c>
      <c r="AX31" s="6">
        <f>SUM(AX32:AX33)</f>
        <v/>
      </c>
      <c r="AY31" s="6">
        <f>SUM(AY32:AY33)</f>
        <v/>
      </c>
      <c r="AZ31" s="6">
        <f>SUM(AZ32:AZ33)</f>
        <v/>
      </c>
      <c r="BA31" s="6">
        <f>SUM(BA32:BA33)</f>
        <v/>
      </c>
      <c r="BB31" s="6">
        <f>SUM(BB32:BB33)</f>
        <v/>
      </c>
    </row>
    <row r="32" ht="19" customHeight="1">
      <c r="A32" s="9" t="inlineStr">
        <is>
          <t xml:space="preserve">  5.1 Observabilidade &amp; APM (OpenTelemetry / Datadog)</t>
        </is>
      </c>
      <c r="B32" s="10" t="n">
        <v>13.65</v>
      </c>
      <c r="C32" s="10" t="n">
        <v>75</v>
      </c>
      <c r="D32" s="10" t="n">
        <v>246.77</v>
      </c>
      <c r="E32" s="10" t="n">
        <v>412.16</v>
      </c>
      <c r="F32" s="10" t="n">
        <v>556.38</v>
      </c>
      <c r="G32" s="10" t="n">
        <v>688.37</v>
      </c>
      <c r="H32" s="10" t="n">
        <v>751.0599999999999</v>
      </c>
      <c r="I32" s="10" t="n">
        <v>811.96</v>
      </c>
      <c r="J32" s="10" t="n">
        <v>871.3</v>
      </c>
      <c r="K32" s="10" t="n">
        <v>929.25</v>
      </c>
      <c r="L32" s="10" t="n">
        <v>1041.53</v>
      </c>
      <c r="M32" s="10" t="n">
        <v>1149.7</v>
      </c>
      <c r="N32" s="10" t="n">
        <v>1254.41</v>
      </c>
      <c r="O32" s="10" t="n">
        <v>1356.12</v>
      </c>
      <c r="P32" s="10" t="n">
        <v>1383.9</v>
      </c>
      <c r="Q32" s="10" t="n">
        <v>1411.48</v>
      </c>
      <c r="R32" s="10" t="n">
        <v>1438.88</v>
      </c>
      <c r="S32" s="10" t="n">
        <v>1466.09</v>
      </c>
      <c r="T32" s="10" t="n">
        <v>1493.12</v>
      </c>
      <c r="U32" s="10" t="n">
        <v>1519.99</v>
      </c>
      <c r="V32" s="10" t="n">
        <v>1546.68</v>
      </c>
      <c r="W32" s="10" t="n">
        <v>1573.22</v>
      </c>
      <c r="X32" s="10" t="n">
        <v>1599.6</v>
      </c>
      <c r="Y32" s="10" t="n">
        <v>1625.83</v>
      </c>
      <c r="Z32" s="10" t="n">
        <v>1651.92</v>
      </c>
      <c r="AA32" s="10" t="n">
        <v>1677.85</v>
      </c>
      <c r="AB32" s="10" t="n">
        <v>1703.65</v>
      </c>
      <c r="AC32" s="10" t="n">
        <v>1729.31</v>
      </c>
      <c r="AD32" s="10" t="n">
        <v>1754.84</v>
      </c>
      <c r="AE32" s="10" t="n">
        <v>1780.24</v>
      </c>
      <c r="AF32" s="10" t="n">
        <v>1805.51</v>
      </c>
      <c r="AG32" s="10" t="n">
        <v>1830.66</v>
      </c>
      <c r="AH32" s="10" t="n">
        <v>1855.68</v>
      </c>
      <c r="AI32" s="10" t="n">
        <v>1880.59</v>
      </c>
      <c r="AJ32" s="10" t="n">
        <v>1905.39</v>
      </c>
      <c r="AK32" s="10" t="n">
        <v>1930.07</v>
      </c>
      <c r="AL32" s="10" t="n">
        <v>1954.63</v>
      </c>
      <c r="AM32" s="10" t="n">
        <v>1979.1</v>
      </c>
      <c r="AN32" s="10" t="n">
        <v>2003.45</v>
      </c>
      <c r="AO32" s="10" t="n">
        <v>2027.71</v>
      </c>
      <c r="AP32" s="10" t="n">
        <v>2051.86</v>
      </c>
      <c r="AQ32" s="10" t="n">
        <v>2075.91</v>
      </c>
      <c r="AR32" s="10" t="n">
        <v>2099.86</v>
      </c>
      <c r="AS32" s="10" t="n">
        <v>2123.72</v>
      </c>
      <c r="AT32" s="10" t="n">
        <v>2147.49</v>
      </c>
      <c r="AU32" s="10" t="n">
        <v>2171.16</v>
      </c>
      <c r="AV32" s="10" t="n">
        <v>2194.74</v>
      </c>
      <c r="AW32" s="10" t="n">
        <v>2218.24</v>
      </c>
      <c r="AX32" s="10" t="n">
        <v>2241.64</v>
      </c>
      <c r="AY32" s="10" t="n">
        <v>2264.96</v>
      </c>
      <c r="AZ32" s="10" t="n">
        <v>2288.52</v>
      </c>
      <c r="BA32" s="10">
        <f>SUM(B32:AZ32)</f>
        <v/>
      </c>
      <c r="BB32" s="10">
        <f>AVERAGE(B32:AZ32)</f>
        <v/>
      </c>
    </row>
    <row r="33" ht="19" customHeight="1">
      <c r="A33" s="9" t="inlineStr">
        <is>
          <t xml:space="preserve">  5.2 Segurança, SSL, WAF &amp; SecOps (Security Cmd Center)</t>
        </is>
      </c>
      <c r="B33" s="10" t="n">
        <v>8.69</v>
      </c>
      <c r="C33" s="10" t="n">
        <v>50</v>
      </c>
      <c r="D33" s="10" t="n">
        <v>169.9</v>
      </c>
      <c r="E33" s="10" t="n">
        <v>287.72</v>
      </c>
      <c r="F33" s="10" t="n">
        <v>391.56</v>
      </c>
      <c r="G33" s="10" t="n">
        <v>487.25</v>
      </c>
      <c r="H33" s="10" t="n">
        <v>532.88</v>
      </c>
      <c r="I33" s="10" t="n">
        <v>577.3</v>
      </c>
      <c r="J33" s="10" t="n">
        <v>620.67</v>
      </c>
      <c r="K33" s="10" t="n">
        <v>663.1</v>
      </c>
      <c r="L33" s="10" t="n">
        <v>745.52</v>
      </c>
      <c r="M33" s="10" t="n">
        <v>825.16</v>
      </c>
      <c r="N33" s="10" t="n">
        <v>902.4299999999999</v>
      </c>
      <c r="O33" s="10" t="n">
        <v>977.66</v>
      </c>
      <c r="P33" s="10" t="n">
        <v>998.23</v>
      </c>
      <c r="Q33" s="10" t="n">
        <v>1018.67</v>
      </c>
      <c r="R33" s="10" t="n">
        <v>1038.98</v>
      </c>
      <c r="S33" s="10" t="n">
        <v>1059.16</v>
      </c>
      <c r="T33" s="10" t="n">
        <v>1079.23</v>
      </c>
      <c r="U33" s="10" t="n">
        <v>1099.17</v>
      </c>
      <c r="V33" s="10" t="n">
        <v>1119.01</v>
      </c>
      <c r="W33" s="10" t="n">
        <v>1138.73</v>
      </c>
      <c r="X33" s="10" t="n">
        <v>1158.35</v>
      </c>
      <c r="Y33" s="10" t="n">
        <v>1177.86</v>
      </c>
      <c r="Z33" s="10" t="n">
        <v>1197.27</v>
      </c>
      <c r="AA33" s="10" t="n">
        <v>1216.58</v>
      </c>
      <c r="AB33" s="10" t="n">
        <v>1235.8</v>
      </c>
      <c r="AC33" s="10" t="n">
        <v>1254.91</v>
      </c>
      <c r="AD33" s="10" t="n">
        <v>1273.94</v>
      </c>
      <c r="AE33" s="10" t="n">
        <v>1292.88</v>
      </c>
      <c r="AF33" s="10" t="n">
        <v>1311.74</v>
      </c>
      <c r="AG33" s="10" t="n">
        <v>1330.51</v>
      </c>
      <c r="AH33" s="10" t="n">
        <v>1349.19</v>
      </c>
      <c r="AI33" s="10" t="n">
        <v>1367.79</v>
      </c>
      <c r="AJ33" s="10" t="n">
        <v>1386.32</v>
      </c>
      <c r="AK33" s="10" t="n">
        <v>1404.76</v>
      </c>
      <c r="AL33" s="10" t="n">
        <v>1423.13</v>
      </c>
      <c r="AM33" s="10" t="n">
        <v>1441.43</v>
      </c>
      <c r="AN33" s="10" t="n">
        <v>1459.65</v>
      </c>
      <c r="AO33" s="10" t="n">
        <v>1477.8</v>
      </c>
      <c r="AP33" s="10" t="n">
        <v>1495.88</v>
      </c>
      <c r="AQ33" s="10" t="n">
        <v>1513.89</v>
      </c>
      <c r="AR33" s="10" t="n">
        <v>1531.83</v>
      </c>
      <c r="AS33" s="10" t="n">
        <v>1549.71</v>
      </c>
      <c r="AT33" s="10" t="n">
        <v>1567.52</v>
      </c>
      <c r="AU33" s="10" t="n">
        <v>1585.27</v>
      </c>
      <c r="AV33" s="10" t="n">
        <v>1602.96</v>
      </c>
      <c r="AW33" s="10" t="n">
        <v>1620.58</v>
      </c>
      <c r="AX33" s="10" t="n">
        <v>1638.15</v>
      </c>
      <c r="AY33" s="10" t="n">
        <v>1655.66</v>
      </c>
      <c r="AZ33" s="10" t="n">
        <v>1673.36</v>
      </c>
      <c r="BA33" s="10">
        <f>SUM(B33:AZ33)</f>
        <v/>
      </c>
      <c r="BB33" s="10">
        <f>AVERAGE(B33:AZ33)</f>
        <v/>
      </c>
    </row>
    <row r="34" ht="24" customHeight="1">
      <c r="A34" s="13" t="inlineStr">
        <is>
          <t>💰 TOTAL OPEX BRUTO DE TECNOLOGIA &amp; FINOPS</t>
        </is>
      </c>
      <c r="B34" s="14">
        <f>B9+B18+B22+B27+B31</f>
        <v/>
      </c>
      <c r="C34" s="14">
        <f>C9+C18+C22+C27+C31</f>
        <v/>
      </c>
      <c r="D34" s="14">
        <f>D9+D18+D22+D27+D31</f>
        <v/>
      </c>
      <c r="E34" s="14">
        <f>E9+E18+E22+E27+E31</f>
        <v/>
      </c>
      <c r="F34" s="14">
        <f>F9+F18+F22+F27+F31</f>
        <v/>
      </c>
      <c r="G34" s="14">
        <f>G9+G18+G22+G27+G31</f>
        <v/>
      </c>
      <c r="H34" s="14">
        <f>H9+H18+H22+H27+H31</f>
        <v/>
      </c>
      <c r="I34" s="14">
        <f>I9+I18+I22+I27+I31</f>
        <v/>
      </c>
      <c r="J34" s="14">
        <f>J9+J18+J22+J27+J31</f>
        <v/>
      </c>
      <c r="K34" s="14">
        <f>K9+K18+K22+K27+K31</f>
        <v/>
      </c>
      <c r="L34" s="14">
        <f>L9+L18+L22+L27+L31</f>
        <v/>
      </c>
      <c r="M34" s="14">
        <f>M9+M18+M22+M27+M31</f>
        <v/>
      </c>
      <c r="N34" s="14">
        <f>N9+N18+N22+N27+N31</f>
        <v/>
      </c>
      <c r="O34" s="14">
        <f>O9+O18+O22+O27+O31</f>
        <v/>
      </c>
      <c r="P34" s="14">
        <f>P9+P18+P22+P27+P31</f>
        <v/>
      </c>
      <c r="Q34" s="14">
        <f>Q9+Q18+Q22+Q27+Q31</f>
        <v/>
      </c>
      <c r="R34" s="14">
        <f>R9+R18+R22+R27+R31</f>
        <v/>
      </c>
      <c r="S34" s="14">
        <f>S9+S18+S22+S27+S31</f>
        <v/>
      </c>
      <c r="T34" s="14">
        <f>T9+T18+T22+T27+T31</f>
        <v/>
      </c>
      <c r="U34" s="14">
        <f>U9+U18+U22+U27+U31</f>
        <v/>
      </c>
      <c r="V34" s="14">
        <f>V9+V18+V22+V27+V31</f>
        <v/>
      </c>
      <c r="W34" s="14">
        <f>W9+W18+W22+W27+W31</f>
        <v/>
      </c>
      <c r="X34" s="14">
        <f>X9+X18+X22+X27+X31</f>
        <v/>
      </c>
      <c r="Y34" s="14">
        <f>Y9+Y18+Y22+Y27+Y31</f>
        <v/>
      </c>
      <c r="Z34" s="14">
        <f>Z9+Z18+Z22+Z27+Z31</f>
        <v/>
      </c>
      <c r="AA34" s="14">
        <f>AA9+AA18+AA22+AA27+AA31</f>
        <v/>
      </c>
      <c r="AB34" s="14">
        <f>AB9+AB18+AB22+AB27+AB31</f>
        <v/>
      </c>
      <c r="AC34" s="14">
        <f>AC9+AC18+AC22+AC27+AC31</f>
        <v/>
      </c>
      <c r="AD34" s="14">
        <f>AD9+AD18+AD22+AD27+AD31</f>
        <v/>
      </c>
      <c r="AE34" s="14">
        <f>AE9+AE18+AE22+AE27+AE31</f>
        <v/>
      </c>
      <c r="AF34" s="14">
        <f>AF9+AF18+AF22+AF27+AF31</f>
        <v/>
      </c>
      <c r="AG34" s="14">
        <f>AG9+AG18+AG22+AG27+AG31</f>
        <v/>
      </c>
      <c r="AH34" s="14">
        <f>AH9+AH18+AH22+AH27+AH31</f>
        <v/>
      </c>
      <c r="AI34" s="14">
        <f>AI9+AI18+AI22+AI27+AI31</f>
        <v/>
      </c>
      <c r="AJ34" s="14">
        <f>AJ9+AJ18+AJ22+AJ27+AJ31</f>
        <v/>
      </c>
      <c r="AK34" s="14">
        <f>AK9+AK18+AK22+AK27+AK31</f>
        <v/>
      </c>
      <c r="AL34" s="14">
        <f>AL9+AL18+AL22+AL27+AL31</f>
        <v/>
      </c>
      <c r="AM34" s="14">
        <f>AM9+AM18+AM22+AM27+AM31</f>
        <v/>
      </c>
      <c r="AN34" s="14">
        <f>AN9+AN18+AN22+AN27+AN31</f>
        <v/>
      </c>
      <c r="AO34" s="14">
        <f>AO9+AO18+AO22+AO27+AO31</f>
        <v/>
      </c>
      <c r="AP34" s="14">
        <f>AP9+AP18+AP22+AP27+AP31</f>
        <v/>
      </c>
      <c r="AQ34" s="14">
        <f>AQ9+AQ18+AQ22+AQ27+AQ31</f>
        <v/>
      </c>
      <c r="AR34" s="14">
        <f>AR9+AR18+AR22+AR27+AR31</f>
        <v/>
      </c>
      <c r="AS34" s="14">
        <f>AS9+AS18+AS22+AS27+AS31</f>
        <v/>
      </c>
      <c r="AT34" s="14">
        <f>AT9+AT18+AT22+AT27+AT31</f>
        <v/>
      </c>
      <c r="AU34" s="14">
        <f>AU9+AU18+AU22+AU27+AU31</f>
        <v/>
      </c>
      <c r="AV34" s="14">
        <f>AV9+AV18+AV22+AV27+AV31</f>
        <v/>
      </c>
      <c r="AW34" s="14">
        <f>AW9+AW18+AW22+AW27+AW31</f>
        <v/>
      </c>
      <c r="AX34" s="14">
        <f>AX9+AX18+AX22+AX27+AX31</f>
        <v/>
      </c>
      <c r="AY34" s="14">
        <f>AY9+AY18+AY22+AY27+AY31</f>
        <v/>
      </c>
      <c r="AZ34" s="14">
        <f>AZ9+AZ18+AZ22+AZ27+AZ31</f>
        <v/>
      </c>
      <c r="BA34" s="14">
        <f>BA9+BA18+BA22+BA27+BA31</f>
        <v/>
      </c>
      <c r="BB34" s="14">
        <f>BB9+BB18+BB22+BB27+BB31</f>
        <v/>
      </c>
    </row>
    <row r="35" ht="20" customHeight="1">
      <c r="A35" s="16" t="inlineStr">
        <is>
          <t>(-) Créditos Google Cloud Startup Program (Subsídio de Nuvem &amp; IA)</t>
        </is>
      </c>
      <c r="B35" s="17">
        <f>-B34</f>
        <v/>
      </c>
      <c r="C35" s="17">
        <f>-C34</f>
        <v/>
      </c>
      <c r="D35" s="17">
        <f>-D34</f>
        <v/>
      </c>
      <c r="E35" s="17">
        <f>-E34</f>
        <v/>
      </c>
      <c r="F35" s="17">
        <f>-F34</f>
        <v/>
      </c>
      <c r="G35" s="17">
        <f>-G34</f>
        <v/>
      </c>
      <c r="H35" s="17">
        <f>-H34</f>
        <v/>
      </c>
      <c r="I35" s="17">
        <f>-I34</f>
        <v/>
      </c>
      <c r="J35" s="17">
        <f>-J34</f>
        <v/>
      </c>
      <c r="K35" s="17">
        <f>-K34</f>
        <v/>
      </c>
      <c r="L35" s="17">
        <f>-L34</f>
        <v/>
      </c>
      <c r="M35" s="17">
        <f>-M34</f>
        <v/>
      </c>
      <c r="N35" s="17">
        <f>-N34</f>
        <v/>
      </c>
      <c r="O35" s="17">
        <f>-O34</f>
        <v/>
      </c>
      <c r="P35" s="17">
        <f>-P34</f>
        <v/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>
        <f>SUM(B35:AZ35)</f>
        <v/>
      </c>
      <c r="BB35" s="17">
        <f>AVERAGE(B35:AZ35)</f>
        <v/>
      </c>
    </row>
    <row r="36" ht="24" customHeight="1">
      <c r="A36" s="19" t="inlineStr">
        <is>
          <t>💵 DESEMBOLSO LÍQUIDO EFETIVO DE CAIXA (NET CASH OPEX)</t>
        </is>
      </c>
      <c r="B36" s="20">
        <f>MAX(0, B34 + B35)</f>
        <v/>
      </c>
      <c r="C36" s="20">
        <f>MAX(0, C34 + C35)</f>
        <v/>
      </c>
      <c r="D36" s="20">
        <f>MAX(0, D34 + D35)</f>
        <v/>
      </c>
      <c r="E36" s="20">
        <f>MAX(0, E34 + E35)</f>
        <v/>
      </c>
      <c r="F36" s="20">
        <f>MAX(0, F34 + F35)</f>
        <v/>
      </c>
      <c r="G36" s="20">
        <f>MAX(0, G34 + G35)</f>
        <v/>
      </c>
      <c r="H36" s="20">
        <f>MAX(0, H34 + H35)</f>
        <v/>
      </c>
      <c r="I36" s="20">
        <f>MAX(0, I34 + I35)</f>
        <v/>
      </c>
      <c r="J36" s="20">
        <f>MAX(0, J34 + J35)</f>
        <v/>
      </c>
      <c r="K36" s="20">
        <f>MAX(0, K34 + K35)</f>
        <v/>
      </c>
      <c r="L36" s="20">
        <f>MAX(0, L34 + L35)</f>
        <v/>
      </c>
      <c r="M36" s="20">
        <f>MAX(0, M34 + M35)</f>
        <v/>
      </c>
      <c r="N36" s="20">
        <f>MAX(0, N34 + N35)</f>
        <v/>
      </c>
      <c r="O36" s="20">
        <f>MAX(0, O34 + O35)</f>
        <v/>
      </c>
      <c r="P36" s="20">
        <f>MAX(0, P34 + P35)</f>
        <v/>
      </c>
      <c r="Q36" s="20">
        <f>MAX(0, Q34 + Q35)</f>
        <v/>
      </c>
      <c r="R36" s="20">
        <f>MAX(0, R34 + R35)</f>
        <v/>
      </c>
      <c r="S36" s="20">
        <f>MAX(0, S34 + S35)</f>
        <v/>
      </c>
      <c r="T36" s="20">
        <f>MAX(0, T34 + T35)</f>
        <v/>
      </c>
      <c r="U36" s="20">
        <f>MAX(0, U34 + U35)</f>
        <v/>
      </c>
      <c r="V36" s="20">
        <f>MAX(0, V34 + V35)</f>
        <v/>
      </c>
      <c r="W36" s="20">
        <f>MAX(0, W34 + W35)</f>
        <v/>
      </c>
      <c r="X36" s="20">
        <f>MAX(0, X34 + X35)</f>
        <v/>
      </c>
      <c r="Y36" s="20">
        <f>MAX(0, Y34 + Y35)</f>
        <v/>
      </c>
      <c r="Z36" s="20">
        <f>MAX(0, Z34 + Z35)</f>
        <v/>
      </c>
      <c r="AA36" s="20">
        <f>MAX(0, AA34 + AA35)</f>
        <v/>
      </c>
      <c r="AB36" s="20">
        <f>MAX(0, AB34 + AB35)</f>
        <v/>
      </c>
      <c r="AC36" s="20">
        <f>MAX(0, AC34 + AC35)</f>
        <v/>
      </c>
      <c r="AD36" s="20">
        <f>MAX(0, AD34 + AD35)</f>
        <v/>
      </c>
      <c r="AE36" s="20">
        <f>MAX(0, AE34 + AE35)</f>
        <v/>
      </c>
      <c r="AF36" s="20">
        <f>MAX(0, AF34 + AF35)</f>
        <v/>
      </c>
      <c r="AG36" s="20">
        <f>MAX(0, AG34 + AG35)</f>
        <v/>
      </c>
      <c r="AH36" s="20">
        <f>MAX(0, AH34 + AH35)</f>
        <v/>
      </c>
      <c r="AI36" s="20">
        <f>MAX(0, AI34 + AI35)</f>
        <v/>
      </c>
      <c r="AJ36" s="20">
        <f>MAX(0, AJ34 + AJ35)</f>
        <v/>
      </c>
      <c r="AK36" s="20">
        <f>MAX(0, AK34 + AK35)</f>
        <v/>
      </c>
      <c r="AL36" s="20">
        <f>MAX(0, AL34 + AL35)</f>
        <v/>
      </c>
      <c r="AM36" s="20">
        <f>MAX(0, AM34 + AM35)</f>
        <v/>
      </c>
      <c r="AN36" s="20">
        <f>MAX(0, AN34 + AN35)</f>
        <v/>
      </c>
      <c r="AO36" s="20">
        <f>MAX(0, AO34 + AO35)</f>
        <v/>
      </c>
      <c r="AP36" s="20">
        <f>MAX(0, AP34 + AP35)</f>
        <v/>
      </c>
      <c r="AQ36" s="20">
        <f>MAX(0, AQ34 + AQ35)</f>
        <v/>
      </c>
      <c r="AR36" s="20">
        <f>MAX(0, AR34 + AR35)</f>
        <v/>
      </c>
      <c r="AS36" s="20">
        <f>MAX(0, AS34 + AS35)</f>
        <v/>
      </c>
      <c r="AT36" s="20">
        <f>MAX(0, AT34 + AT35)</f>
        <v/>
      </c>
      <c r="AU36" s="20">
        <f>MAX(0, AU34 + AU35)</f>
        <v/>
      </c>
      <c r="AV36" s="20">
        <f>MAX(0, AV34 + AV35)</f>
        <v/>
      </c>
      <c r="AW36" s="20">
        <f>MAX(0, AW34 + AW35)</f>
        <v/>
      </c>
      <c r="AX36" s="20">
        <f>MAX(0, AX34 + AX35)</f>
        <v/>
      </c>
      <c r="AY36" s="20">
        <f>MAX(0, AY34 + AY35)</f>
        <v/>
      </c>
      <c r="AZ36" s="20">
        <f>MAX(0, AZ34 + AZ35)</f>
        <v/>
      </c>
      <c r="BA36" s="20">
        <f>MAX(0, BA34 + BA35)</f>
        <v/>
      </c>
      <c r="BB36" s="20">
        <f>MAX(0, BB34 + BB35)</f>
        <v/>
      </c>
    </row>
    <row r="37" ht="12" customHeight="1"/>
    <row r="38" ht="20" customHeight="1">
      <c r="A38" s="35" t="inlineStr">
        <is>
          <t>📊 Custo de TI por Usuário Ativo (R$ / MAU / mês)</t>
        </is>
      </c>
      <c r="B38" s="36">
        <f>B34/B6</f>
        <v/>
      </c>
      <c r="C38" s="36">
        <f>C34/C6</f>
        <v/>
      </c>
      <c r="D38" s="36">
        <f>D34/D6</f>
        <v/>
      </c>
      <c r="E38" s="36">
        <f>E34/E6</f>
        <v/>
      </c>
      <c r="F38" s="36">
        <f>F34/F6</f>
        <v/>
      </c>
      <c r="G38" s="36">
        <f>G34/G6</f>
        <v/>
      </c>
      <c r="H38" s="36">
        <f>H34/H6</f>
        <v/>
      </c>
      <c r="I38" s="36">
        <f>I34/I6</f>
        <v/>
      </c>
      <c r="J38" s="36">
        <f>J34/J6</f>
        <v/>
      </c>
      <c r="K38" s="36">
        <f>K34/K6</f>
        <v/>
      </c>
      <c r="L38" s="36">
        <f>L34/L6</f>
        <v/>
      </c>
      <c r="M38" s="36">
        <f>M34/M6</f>
        <v/>
      </c>
      <c r="N38" s="36">
        <f>N34/N6</f>
        <v/>
      </c>
      <c r="O38" s="36">
        <f>O34/O6</f>
        <v/>
      </c>
      <c r="P38" s="36">
        <f>P34/P6</f>
        <v/>
      </c>
      <c r="Q38" s="36">
        <f>Q34/Q6</f>
        <v/>
      </c>
      <c r="R38" s="36">
        <f>R34/R6</f>
        <v/>
      </c>
      <c r="S38" s="36">
        <f>S34/S6</f>
        <v/>
      </c>
      <c r="T38" s="36">
        <f>T34/T6</f>
        <v/>
      </c>
      <c r="U38" s="36">
        <f>U34/U6</f>
        <v/>
      </c>
      <c r="V38" s="36">
        <f>V34/V6</f>
        <v/>
      </c>
      <c r="W38" s="36">
        <f>W34/W6</f>
        <v/>
      </c>
      <c r="X38" s="36">
        <f>X34/X6</f>
        <v/>
      </c>
      <c r="Y38" s="36">
        <f>Y34/Y6</f>
        <v/>
      </c>
      <c r="Z38" s="36">
        <f>Z34/Z6</f>
        <v/>
      </c>
      <c r="AA38" s="36">
        <f>AA34/AA6</f>
        <v/>
      </c>
      <c r="AB38" s="36">
        <f>AB34/AB6</f>
        <v/>
      </c>
      <c r="AC38" s="36">
        <f>AC34/AC6</f>
        <v/>
      </c>
      <c r="AD38" s="36">
        <f>AD34/AD6</f>
        <v/>
      </c>
      <c r="AE38" s="36">
        <f>AE34/AE6</f>
        <v/>
      </c>
      <c r="AF38" s="36">
        <f>AF34/AF6</f>
        <v/>
      </c>
      <c r="AG38" s="36">
        <f>AG34/AG6</f>
        <v/>
      </c>
      <c r="AH38" s="36">
        <f>AH34/AH6</f>
        <v/>
      </c>
      <c r="AI38" s="36">
        <f>AI34/AI6</f>
        <v/>
      </c>
      <c r="AJ38" s="36">
        <f>AJ34/AJ6</f>
        <v/>
      </c>
      <c r="AK38" s="36">
        <f>AK34/AK6</f>
        <v/>
      </c>
      <c r="AL38" s="36">
        <f>AL34/AL6</f>
        <v/>
      </c>
      <c r="AM38" s="36">
        <f>AM34/AM6</f>
        <v/>
      </c>
      <c r="AN38" s="36">
        <f>AN34/AN6</f>
        <v/>
      </c>
      <c r="AO38" s="36">
        <f>AO34/AO6</f>
        <v/>
      </c>
      <c r="AP38" s="36">
        <f>AP34/AP6</f>
        <v/>
      </c>
      <c r="AQ38" s="36">
        <f>AQ34/AQ6</f>
        <v/>
      </c>
      <c r="AR38" s="36">
        <f>AR34/AR6</f>
        <v/>
      </c>
      <c r="AS38" s="36">
        <f>AS34/AS6</f>
        <v/>
      </c>
      <c r="AT38" s="36">
        <f>AT34/AT6</f>
        <v/>
      </c>
      <c r="AU38" s="36">
        <f>AU34/AU6</f>
        <v/>
      </c>
      <c r="AV38" s="36">
        <f>AV34/AV6</f>
        <v/>
      </c>
      <c r="AW38" s="36">
        <f>AW34/AW6</f>
        <v/>
      </c>
      <c r="AX38" s="36">
        <f>AX34/AX6</f>
        <v/>
      </c>
      <c r="AY38" s="36">
        <f>AY34/AY6</f>
        <v/>
      </c>
      <c r="AZ38" s="36">
        <f>AZ34/AZ6</f>
        <v/>
      </c>
      <c r="BA38" s="36">
        <f>BA34/BA6</f>
        <v/>
      </c>
      <c r="BB38" s="36">
        <f>AVERAGE(B38:AZ38)</f>
        <v/>
      </c>
    </row>
    <row r="39" ht="20" customHeight="1">
      <c r="A39" s="35" t="inlineStr">
        <is>
          <t>📈 Custo de TI sobre a Receita Bruta (%)</t>
        </is>
      </c>
      <c r="B39" s="7">
        <f>B34/B7</f>
        <v/>
      </c>
      <c r="C39" s="7">
        <f>C34/C7</f>
        <v/>
      </c>
      <c r="D39" s="7">
        <f>D34/D7</f>
        <v/>
      </c>
      <c r="E39" s="7">
        <f>E34/E7</f>
        <v/>
      </c>
      <c r="F39" s="7">
        <f>F34/F7</f>
        <v/>
      </c>
      <c r="G39" s="7">
        <f>G34/G7</f>
        <v/>
      </c>
      <c r="H39" s="7">
        <f>H34/H7</f>
        <v/>
      </c>
      <c r="I39" s="7">
        <f>I34/I7</f>
        <v/>
      </c>
      <c r="J39" s="7">
        <f>J34/J7</f>
        <v/>
      </c>
      <c r="K39" s="7">
        <f>K34/K7</f>
        <v/>
      </c>
      <c r="L39" s="7">
        <f>L34/L7</f>
        <v/>
      </c>
      <c r="M39" s="7">
        <f>M34/M7</f>
        <v/>
      </c>
      <c r="N39" s="7">
        <f>N34/N7</f>
        <v/>
      </c>
      <c r="O39" s="7">
        <f>O34/O7</f>
        <v/>
      </c>
      <c r="P39" s="7">
        <f>P34/P7</f>
        <v/>
      </c>
      <c r="Q39" s="7">
        <f>Q34/Q7</f>
        <v/>
      </c>
      <c r="R39" s="7">
        <f>R34/R7</f>
        <v/>
      </c>
      <c r="S39" s="7">
        <f>S34/S7</f>
        <v/>
      </c>
      <c r="T39" s="7">
        <f>T34/T7</f>
        <v/>
      </c>
      <c r="U39" s="7">
        <f>U34/U7</f>
        <v/>
      </c>
      <c r="V39" s="7">
        <f>V34/V7</f>
        <v/>
      </c>
      <c r="W39" s="7">
        <f>W34/W7</f>
        <v/>
      </c>
      <c r="X39" s="7">
        <f>X34/X7</f>
        <v/>
      </c>
      <c r="Y39" s="7">
        <f>Y34/Y7</f>
        <v/>
      </c>
      <c r="Z39" s="7">
        <f>Z34/Z7</f>
        <v/>
      </c>
      <c r="AA39" s="7">
        <f>AA34/AA7</f>
        <v/>
      </c>
      <c r="AB39" s="7">
        <f>AB34/AB7</f>
        <v/>
      </c>
      <c r="AC39" s="7">
        <f>AC34/AC7</f>
        <v/>
      </c>
      <c r="AD39" s="7">
        <f>AD34/AD7</f>
        <v/>
      </c>
      <c r="AE39" s="7">
        <f>AE34/AE7</f>
        <v/>
      </c>
      <c r="AF39" s="7">
        <f>AF34/AF7</f>
        <v/>
      </c>
      <c r="AG39" s="7">
        <f>AG34/AG7</f>
        <v/>
      </c>
      <c r="AH39" s="7">
        <f>AH34/AH7</f>
        <v/>
      </c>
      <c r="AI39" s="7">
        <f>AI34/AI7</f>
        <v/>
      </c>
      <c r="AJ39" s="7">
        <f>AJ34/AJ7</f>
        <v/>
      </c>
      <c r="AK39" s="7">
        <f>AK34/AK7</f>
        <v/>
      </c>
      <c r="AL39" s="7">
        <f>AL34/AL7</f>
        <v/>
      </c>
      <c r="AM39" s="7">
        <f>AM34/AM7</f>
        <v/>
      </c>
      <c r="AN39" s="7">
        <f>AN34/AN7</f>
        <v/>
      </c>
      <c r="AO39" s="7">
        <f>AO34/AO7</f>
        <v/>
      </c>
      <c r="AP39" s="7">
        <f>AP34/AP7</f>
        <v/>
      </c>
      <c r="AQ39" s="7">
        <f>AQ34/AQ7</f>
        <v/>
      </c>
      <c r="AR39" s="7">
        <f>AR34/AR7</f>
        <v/>
      </c>
      <c r="AS39" s="7">
        <f>AS34/AS7</f>
        <v/>
      </c>
      <c r="AT39" s="7">
        <f>AT34/AT7</f>
        <v/>
      </c>
      <c r="AU39" s="7">
        <f>AU34/AU7</f>
        <v/>
      </c>
      <c r="AV39" s="7">
        <f>AV34/AV7</f>
        <v/>
      </c>
      <c r="AW39" s="7">
        <f>AW34/AW7</f>
        <v/>
      </c>
      <c r="AX39" s="7">
        <f>AX34/AX7</f>
        <v/>
      </c>
      <c r="AY39" s="7">
        <f>AY34/AY7</f>
        <v/>
      </c>
      <c r="AZ39" s="7">
        <f>AZ34/AZ7</f>
        <v/>
      </c>
      <c r="BA39" s="7">
        <f>BA34/BA7</f>
        <v/>
      </c>
      <c r="BB39" s="7">
        <f>AVERAGE(B39:AZ39)</f>
        <v/>
      </c>
    </row>
  </sheetData>
  <mergeCells count="2">
    <mergeCell ref="A2:BA2"/>
    <mergeCell ref="A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1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 ht="36" customHeight="1">
      <c r="A1" s="1" t="inlineStr">
        <is>
          <t>NETFITS PLATAFORMA DIGITAL S.A. — PREMISSAS TÉCNICAS E DIRETRIZES FINOPS (2026 - 2030)</t>
        </is>
      </c>
    </row>
    <row r="3" ht="24" customHeight="1">
      <c r="A3" s="37" t="inlineStr">
        <is>
          <t>1. Google Cloud Startup Program &amp; Subsídios de Aceleração (2026 - 2027)</t>
        </is>
      </c>
    </row>
    <row r="4" ht="18" customHeight="1">
      <c r="A4" s="38" t="inlineStr">
        <is>
          <t xml:space="preserve">  • A Netfits é credenciada no Google Cloud Startup Program com pacote de até US$ 200.000 (R$ 1,1 Milhão) em créditos.</t>
        </is>
      </c>
    </row>
    <row r="5" ht="18" customHeight="1">
      <c r="A5" s="38" t="inlineStr">
        <is>
          <t xml:space="preserve">  • Desembolso efetivo de caixa em infraestrutura de nuvem é R$ 0,00 nos exercícios de 2026 e 2027.</t>
        </is>
      </c>
    </row>
    <row r="6" ht="18" customHeight="1">
      <c r="A6" s="38" t="inlineStr">
        <is>
          <t xml:space="preserve">  • Preserva 100% do capital de giro inicial para aquisição de usuários, parcerias e expansão comercial.</t>
        </is>
      </c>
    </row>
    <row r="7" ht="18" customHeight="1">
      <c r="A7" s="38" t="inlineStr">
        <is>
          <t xml:space="preserve">  • Acesso direto a especialistas de arquitetura do Google para validação de escalabilidade e segurança.</t>
        </is>
      </c>
    </row>
    <row r="8" ht="8" customHeight="1"/>
    <row r="9" ht="24" customHeight="1">
      <c r="A9" s="37" t="inlineStr">
        <is>
          <t>2. Idempotência Criptográfica de Webhooks Rock Encantech / MKPlace (/api/orders)</t>
        </is>
      </c>
    </row>
    <row r="10" ht="18" customHeight="1">
      <c r="A10" s="38" t="inlineStr">
        <is>
          <t xml:space="preserve">  • Validação de assinatura em tempo constante (crypto.timingSafeEqual) prevenindo timing attacks.</t>
        </is>
      </c>
    </row>
    <row r="11" ht="18" customHeight="1">
      <c r="A11" s="38" t="inlineStr">
        <is>
          <t xml:space="preserve">  • Upsert idempotente baseado no _id único do pedido com flag isReplay para ignorar notificações repetidas.</t>
        </is>
      </c>
    </row>
    <row r="12" ht="18" customHeight="1">
      <c r="A12" s="38" t="inlineStr">
        <is>
          <t xml:space="preserve">  • Cada transação física gera estritamente um crédito de cashback, prevenindo duplicidades em reenvios de status.</t>
        </is>
      </c>
    </row>
    <row r="13" ht="18" customHeight="1">
      <c r="A13" s="38" t="inlineStr">
        <is>
          <t xml:space="preserve">  • Reduz em mais de 60% as escritas no banco relacional e processamento serverless em picos de checkout.</t>
        </is>
      </c>
    </row>
    <row r="14" ht="8" customHeight="1"/>
    <row r="15" ht="24" customHeight="1">
      <c r="A15" s="37" t="inlineStr">
        <is>
          <t>3. Blindagem Atuarial do Passivo de Pontos (CPC 30 / IFRS 15) &amp; Teto de Badges</t>
        </is>
      </c>
    </row>
    <row r="16" ht="18" customHeight="1">
      <c r="A16" s="38" t="inlineStr">
        <is>
          <t xml:space="preserve">  • Teto operacional rigoroso de 50 NFs para todas as conquistas e badges do aplicativo.</t>
        </is>
      </c>
    </row>
    <row r="17" ht="18" customHeight="1">
      <c r="A17" s="38" t="inlineStr">
        <is>
          <t xml:space="preserve">  • Eliminação de bonificações anteriores desproporcionais (ex.: 1.080 NFs na primeira compra), contendo o passivo circulante.</t>
        </is>
      </c>
    </row>
    <row r="18" ht="18" customHeight="1">
      <c r="A18" s="38" t="inlineStr">
        <is>
          <t xml:space="preserve">  • Motor feed-antifraud.ts audita retenção ativa (Dwell Time) em artigos e 90%+ em vídeos antes de liberar pontos.</t>
        </is>
      </c>
    </row>
    <row r="19" ht="18" customHeight="1">
      <c r="A19" s="38" t="inlineStr">
        <is>
          <t xml:space="preserve">  • Comissões de compras sobre indicados (MGM) suspensas até o lançamento do clube de assinantes, blindando a margem da loja.</t>
        </is>
      </c>
    </row>
    <row r="20" ht="8" customHeight="1"/>
    <row r="21" ht="24" customHeight="1">
      <c r="A21" s="37" t="inlineStr">
        <is>
          <t>4. Squad Multiagêntico de IA (8 Agentes Autônomos com Gemini 2.5)</t>
        </is>
      </c>
    </row>
    <row r="22" ht="18" customHeight="1">
      <c r="A22" s="38" t="inlineStr">
        <is>
          <t xml:space="preserve">  • Substitui equipe tradicional de 17 analistas de suporte, risco, contabilidade e moderação que custaria R$ 119.200,00/mês.</t>
        </is>
      </c>
    </row>
    <row r="23" ht="18" customHeight="1">
      <c r="A23" s="38" t="inlineStr">
        <is>
          <t xml:space="preserve">  • Roteamento de modelos: Gemini 2.5 Flash para tarefas em tempo real (Shop Recommender, Concierge, Fraud Shield).</t>
        </is>
      </c>
    </row>
    <row r="24" ht="18" customHeight="1">
      <c r="A24" s="38" t="inlineStr">
        <is>
          <t xml:space="preserve">  • Gemini 2.5 Flash-Lite para ranqueamento leve do feed comunitário e ingestão de telemetria de sensores.</t>
        </is>
      </c>
    </row>
    <row r="25" ht="18" customHeight="1">
      <c r="A25" s="38" t="inlineStr">
        <is>
          <t xml:space="preserve">  • Gemini 2.5 Pro reservado para conciliação contábil mensal, escrituração tributária e BI executivo.</t>
        </is>
      </c>
    </row>
    <row r="26" ht="18" customHeight="1">
      <c r="A26" s="38" t="inlineStr">
        <is>
          <t xml:space="preserve">  • Economia acumulada de mais de R$ 5,96 Milhões em folha e encargos em 51 meses de operação.</t>
        </is>
      </c>
    </row>
    <row r="27" ht="8" customHeight="1"/>
    <row r="28" ht="24" customHeight="1">
      <c r="A28" s="37" t="inlineStr">
        <is>
          <t>5. Infraestrutura Compute &amp; Edge Serverless (Cloud Run + Cloudflare)</t>
        </is>
      </c>
    </row>
    <row r="29" ht="18" customHeight="1">
      <c r="A29" s="38" t="inlineStr">
        <is>
          <t xml:space="preserve">  • Google Cloud Run com Contratos de Uso Comprometido (CUD) de 3 Anos, garantindo 52% de desconto no custo por vCPU/RAM.</t>
        </is>
      </c>
    </row>
    <row r="30" ht="18" customHeight="1">
      <c r="A30" s="38" t="inlineStr">
        <is>
          <t xml:space="preserve">  • Arquitetura Edge-First com Cloudflare Workers: 70% das requisições estáticas e assets são respondidas na borda.</t>
        </is>
      </c>
    </row>
    <row r="31" ht="18" customHeight="1">
      <c r="A31" s="38" t="inlineStr">
        <is>
          <t xml:space="preserve">  • Eliminação total de servidores ociosos: contêineres escalam a zero durante a madrugada e sobem sob demanda.</t>
        </is>
      </c>
    </row>
    <row r="32" ht="8" customHeight="1"/>
    <row r="33" ht="24" customHeight="1">
      <c r="A33" s="37" t="inlineStr">
        <is>
          <t>6. Estrutura de Dados, Ledger &amp; Analytics (AlloyDB + PgBouncer + BigQuery)</t>
        </is>
      </c>
    </row>
    <row r="34" ht="18" customHeight="1">
      <c r="A34" s="38" t="inlineStr">
        <is>
          <t xml:space="preserve">  • AlloyDB / Cloud SQL PostgreSQL HA como ledger imutável de saldo e extrato com complexidade O(1).</t>
        </is>
      </c>
    </row>
    <row r="35" ht="18" customHeight="1">
      <c r="A35" s="38" t="inlineStr">
        <is>
          <t xml:space="preserve">  • PgBouncer multiplexa milhares de conexões em pool estável, evitando sobrecarga de conexões no banco.</t>
        </is>
      </c>
    </row>
    <row r="36" ht="18" customHeight="1">
      <c r="A36" s="38" t="inlineStr">
        <is>
          <t xml:space="preserve">  • Upstash Redis para cache sub-5ms de vitrines e sessões com TTL dinâmico.</t>
        </is>
      </c>
    </row>
    <row r="37" ht="18" customHeight="1">
      <c r="A37" s="38" t="inlineStr">
        <is>
          <t xml:space="preserve">  • BigQuery operando queries analíticas pesadas e auditorias de conciliação isoladas da loja transacional.</t>
        </is>
      </c>
    </row>
    <row r="38" ht="8" customHeight="1"/>
    <row r="39" ht="24" customHeight="1">
      <c r="A39" s="37" t="inlineStr">
        <is>
          <t>7. Mensageria 'Push-First' &amp; Governança WhatsApp</t>
        </is>
      </c>
    </row>
    <row r="40" ht="18" customHeight="1">
      <c r="A40" s="38" t="inlineStr">
        <is>
          <t xml:space="preserve">  • Notificações diárias sobre treinos e acúmulo de pontos via Firebase Cloud Messaging (FCM) a custo zero.</t>
        </is>
      </c>
    </row>
    <row r="41" ht="18" customHeight="1">
      <c r="A41" s="38" t="inlineStr">
        <is>
          <t xml:space="preserve">  • WhatsApp Business API restrito estritamente a 2FA, recuperação de senha crítica e saques de alta pontuação.</t>
        </is>
      </c>
    </row>
    <row r="42" ht="8" customHeight="1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2026-10-07T22:36:15Z</dcterms:created>
  <dcterms:modified xmlns:dcterms="http://purl.org/dc/terms/" xmlns:xsi="http://www.w3.org/2001/XMLSchema-instance" xsi:type="dcterms:W3CDTF">2026-10-07T22:36:15Z</dcterms:modified>
</cp:coreProperties>
</file>